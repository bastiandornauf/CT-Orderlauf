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showObjects="none" codeName="DieseArbeitsmappe"/>
  <mc:AlternateContent xmlns:mc="http://schemas.openxmlformats.org/markup-compatibility/2006">
    <mc:Choice Requires="x15">
      <x15ac:absPath xmlns:x15ac="http://schemas.microsoft.com/office/spreadsheetml/2010/11/ac" url="https://kurundbadegesellschaft-my.sharepoint.com/personal/gastronomie_carolus-thermen_de/Documents/Desktop/Gastronomie/_Bastian/Lieferanten/"/>
    </mc:Choice>
  </mc:AlternateContent>
  <xr:revisionPtr revIDLastSave="1217" documentId="13_ncr:1_{FFA8827B-FE3F-4A5A-B38B-F2633AB7545B}" xr6:coauthVersionLast="47" xr6:coauthVersionMax="47" xr10:uidLastSave="{8099278B-DABF-41E1-B4DF-D51BBA359F3F}"/>
  <bookViews>
    <workbookView xWindow="-120" yWindow="-120" windowWidth="29040" windowHeight="15720" xr2:uid="{9C7183B4-2D72-4CFB-8206-859D576FCBFB}"/>
  </bookViews>
  <sheets>
    <sheet name="Bestellung" sheetId="1" r:id="rId1"/>
    <sheet name="Liste" sheetId="5" r:id="rId2"/>
    <sheet name="Artikel" sheetId="2" r:id="rId3"/>
    <sheet name="Helfer" sheetId="4" r:id="rId4"/>
  </sheets>
  <externalReferences>
    <externalReference r:id="rId5"/>
  </externalReferences>
  <definedNames>
    <definedName name="_xleta.AND" hidden="1" xlm="1">#NAME?</definedName>
    <definedName name="_xleta.ROUNDUP" hidden="1" xlm="1">#NAME?</definedName>
    <definedName name="_xleta.ROWS" hidden="1" xlm="1">#NAME?</definedName>
    <definedName name="_xleta.T" hidden="1" xlm="1">#NAME?</definedName>
    <definedName name="_xlnm.Print_Area" localSheetId="0">Bestellung!$A$1:$I$97</definedName>
    <definedName name="_xlnm.Print_Area" localSheetId="1">Liste!$A$1:$H$74</definedName>
    <definedName name="hlpA">[1]Helper!$A$1</definedName>
    <definedName name="hlpCountA">[1]Helper!$H$1</definedName>
    <definedName name="hlpCountKL">Helfer!$Q$1</definedName>
    <definedName name="hlpCountTK">Helfer!$Z$1</definedName>
    <definedName name="hlpCountTL">Helfer!$H$1</definedName>
    <definedName name="hlpTK">Helfer!$S$1</definedName>
    <definedName name="hlpTL">Helfer!$A$1</definedName>
    <definedName name="hpKL">Helfer!$J$1</definedName>
    <definedName name="tblKuehllager">#REF!</definedName>
    <definedName name="tblTrockenlager">tblArtikel[]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" i="4" l="1"/>
  <c r="A4" i="5" a="1"/>
  <c r="A4" i="5" l="1"/>
  <c r="AC3" i="4"/>
  <c r="H2" i="1" s="1"/>
  <c r="A2" i="1"/>
  <c r="S1" i="4" a="1"/>
  <c r="S1" i="4" s="1"/>
  <c r="J1" i="4" a="1"/>
  <c r="A1" i="4" a="1"/>
  <c r="J1" i="4" l="1"/>
  <c r="A1" i="4"/>
  <c r="H3" i="4"/>
  <c r="Z1" i="4"/>
  <c r="Q1" i="4"/>
  <c r="H1" i="4"/>
  <c r="I10" i="1" l="1" a="1"/>
  <c r="C10" i="1" a="1"/>
  <c r="G88" i="1" a="1"/>
  <c r="G88" i="1" s="1"/>
  <c r="C88" i="1" a="1"/>
  <c r="C88" i="1" s="1"/>
  <c r="I88" i="1" a="1"/>
  <c r="I88" i="1" s="1"/>
  <c r="B52" i="1" a="1"/>
  <c r="I52" i="1" a="1"/>
  <c r="C52" i="1" a="1"/>
  <c r="A10" i="1" a="1"/>
  <c r="B10" i="1" a="1"/>
  <c r="B88" i="1" a="1"/>
  <c r="B88" i="1" s="1"/>
  <c r="H52" i="1" a="1"/>
  <c r="G52" i="1" a="1"/>
  <c r="A52" i="1" a="1"/>
  <c r="H88" i="1" a="1"/>
  <c r="H88" i="1" s="1"/>
  <c r="A88" i="1" a="1"/>
  <c r="A88" i="1" s="1"/>
  <c r="H10" i="1" a="1"/>
  <c r="G10" i="1" a="1"/>
  <c r="I10" i="1" l="1"/>
  <c r="C52" i="1"/>
  <c r="B52" i="1"/>
  <c r="A52" i="1"/>
  <c r="H10" i="1"/>
  <c r="G10" i="1"/>
  <c r="C10" i="1"/>
  <c r="A10" i="1"/>
  <c r="I52" i="1"/>
  <c r="H52" i="1"/>
  <c r="B10" i="1"/>
  <c r="G5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<sst xmlns="http://schemas.openxmlformats.org/spreadsheetml/2006/main" count="511" uniqueCount="232">
  <si>
    <t>Lieferant:</t>
  </si>
  <si>
    <t>Artikel</t>
  </si>
  <si>
    <t>Größe</t>
  </si>
  <si>
    <t>Menge</t>
  </si>
  <si>
    <t>Besteller:</t>
  </si>
  <si>
    <t>52070 Aachen</t>
  </si>
  <si>
    <t>1 l</t>
  </si>
  <si>
    <t>kg</t>
  </si>
  <si>
    <t>Stück</t>
  </si>
  <si>
    <t>Eimer</t>
  </si>
  <si>
    <t>Dose</t>
  </si>
  <si>
    <t>Karton</t>
  </si>
  <si>
    <t>Geschälte Tomaten in Dose</t>
  </si>
  <si>
    <t>Olivenoel</t>
  </si>
  <si>
    <t>Liefertag :</t>
  </si>
  <si>
    <t>Frische Eier Gr. M</t>
  </si>
  <si>
    <t>10kg Eimer</t>
  </si>
  <si>
    <t>Feines Speisesalz</t>
  </si>
  <si>
    <t>Kochwein weiß</t>
  </si>
  <si>
    <t>2 l Flasche</t>
  </si>
  <si>
    <t>Kochwein rot</t>
  </si>
  <si>
    <t>Kartoffelgratin</t>
  </si>
  <si>
    <t>Pütz Frischdienst</t>
  </si>
  <si>
    <t>Frischhaltefolie</t>
  </si>
  <si>
    <t>Rolle</t>
  </si>
  <si>
    <t>Backpapier</t>
  </si>
  <si>
    <t>Glas</t>
  </si>
  <si>
    <t>Flasche</t>
  </si>
  <si>
    <t>Fetakäse vom Schaf</t>
  </si>
  <si>
    <t>10 kg Karton</t>
  </si>
  <si>
    <t>Kondensmilch 7,5 % Döschen</t>
  </si>
  <si>
    <t>Fax: 02405 / 71485</t>
  </si>
  <si>
    <t>Tel.: 02405 / 73446</t>
  </si>
  <si>
    <t>Schokoladensauce</t>
  </si>
  <si>
    <t>2 l</t>
  </si>
  <si>
    <t>Bitte um 10.00 Uhr liefern ! Danke</t>
  </si>
  <si>
    <t>Tel.: AC-18274630</t>
  </si>
  <si>
    <t>Ciabatta Brote</t>
  </si>
  <si>
    <t>Bestelliste</t>
  </si>
  <si>
    <t>Carolus Thermen Gastronomie</t>
  </si>
  <si>
    <t>Passstr. 79</t>
  </si>
  <si>
    <t>Fax: AC-18274275</t>
  </si>
  <si>
    <t xml:space="preserve">Butter </t>
  </si>
  <si>
    <t>Sahne, haltbar</t>
  </si>
  <si>
    <t>1 l Tetra</t>
  </si>
  <si>
    <t>Bratwurst 140g</t>
  </si>
  <si>
    <t>Oliven Schwarz ohne Kern</t>
  </si>
  <si>
    <t>Pinienkerne</t>
  </si>
  <si>
    <t>Garnelen (gepult) 8/12"er</t>
  </si>
  <si>
    <t>Putenbrust (ger.&amp;geschnitten)</t>
  </si>
  <si>
    <t>Kochschinken (geschnitten)</t>
  </si>
  <si>
    <t>1 kg Stange</t>
  </si>
  <si>
    <t>Servietten (33 mal 33 - 1/8 Falz)</t>
  </si>
  <si>
    <t>Röstzwiebeln</t>
  </si>
  <si>
    <t>Beutel</t>
  </si>
  <si>
    <t>Möhrensalat</t>
  </si>
  <si>
    <t>2kg Eimer</t>
  </si>
  <si>
    <t>gewürfelter Speck</t>
  </si>
  <si>
    <t>Portwein</t>
  </si>
  <si>
    <t>1l. Flasche</t>
  </si>
  <si>
    <t>Paket</t>
  </si>
  <si>
    <t>Pflanzenöl</t>
  </si>
  <si>
    <t>10l. Kanister</t>
  </si>
  <si>
    <t>Hähnchenbrust</t>
  </si>
  <si>
    <t>Bebo-Pflanzencreme</t>
  </si>
  <si>
    <t>Kanister</t>
  </si>
  <si>
    <t>Nolly Prait</t>
  </si>
  <si>
    <t>Nürnberger Rostbratwürstchen</t>
  </si>
  <si>
    <t>TiefkühlLager</t>
  </si>
  <si>
    <t>Risotto</t>
  </si>
  <si>
    <t>Spaghetti (Barilla)</t>
  </si>
  <si>
    <t>Balsamicoessig Dunkel</t>
  </si>
  <si>
    <t>Gojibeeren</t>
  </si>
  <si>
    <t>Latex Handschuhe Gr.XL ungepudert</t>
  </si>
  <si>
    <t>Rumpsteak</t>
  </si>
  <si>
    <t>Kalbsrücken</t>
  </si>
  <si>
    <t>Putenbrust</t>
  </si>
  <si>
    <t>Serano Schinken</t>
  </si>
  <si>
    <t>Tetra Vollei</t>
  </si>
  <si>
    <t>1 Liter</t>
  </si>
  <si>
    <t>Obstsalat 10 L</t>
  </si>
  <si>
    <t>Vanillesauce 1L</t>
  </si>
  <si>
    <t>Tetra</t>
  </si>
  <si>
    <t>Ziegenkäse mit Schimmelrand</t>
  </si>
  <si>
    <t>Balsamicoessig Hell</t>
  </si>
  <si>
    <t>Mozzarella (in Lake)</t>
  </si>
  <si>
    <t>Schweinekrustenbraten (die kleinen!)</t>
  </si>
  <si>
    <t>Limburger Senf (körniger Senf)</t>
  </si>
  <si>
    <t>Honig in Spritzflaschen</t>
  </si>
  <si>
    <t>Erdnüsse (gesalzen)</t>
  </si>
  <si>
    <t>Vanilleschote(Wo mehrere drin sind)</t>
  </si>
  <si>
    <t>Himbeersauce</t>
  </si>
  <si>
    <t>Spülmittel</t>
  </si>
  <si>
    <t>5 kg Beutel</t>
  </si>
  <si>
    <t>Curryketchup</t>
  </si>
  <si>
    <t>Apfelmus</t>
  </si>
  <si>
    <t>Edna Baguette</t>
  </si>
  <si>
    <t>Tomatenmark kleine Dose</t>
  </si>
  <si>
    <t>Rote Beete (gegart, vakuum…)</t>
  </si>
  <si>
    <t>Basilikum Pesto</t>
  </si>
  <si>
    <t>Sonnenblumenkerne</t>
  </si>
  <si>
    <t xml:space="preserve">Farmfrites  Steakhouse Fries !!! </t>
  </si>
  <si>
    <t>Gouda gerieben</t>
  </si>
  <si>
    <t>Rheinischer Kartoffelsalat</t>
  </si>
  <si>
    <t>griechischer Joghurt</t>
  </si>
  <si>
    <t>Debic Parfait</t>
  </si>
  <si>
    <t>Rinderfilet</t>
  </si>
  <si>
    <t>Couscous</t>
  </si>
  <si>
    <t>Pulled pork</t>
  </si>
  <si>
    <t>gr. Dose</t>
  </si>
  <si>
    <t>Puderzucker</t>
  </si>
  <si>
    <t>Spitzendeckchen (Rund)</t>
  </si>
  <si>
    <t>Gnocchi</t>
  </si>
  <si>
    <t>Peperoni</t>
  </si>
  <si>
    <t>Trüffelpaste</t>
  </si>
  <si>
    <t>Weiße Bohnen (Butterbohnen)</t>
  </si>
  <si>
    <t>Mais</t>
  </si>
  <si>
    <t>kl. Dose</t>
  </si>
  <si>
    <t>grüne Pefferkörner in Lake</t>
  </si>
  <si>
    <t>Rinderhüfte</t>
  </si>
  <si>
    <t>Ofenkartoffeln</t>
  </si>
  <si>
    <t>kl. Kiste</t>
  </si>
  <si>
    <t>Kichererbsen</t>
  </si>
  <si>
    <t>Backpulver</t>
  </si>
  <si>
    <t>Penne</t>
  </si>
  <si>
    <t>Schweinenacken</t>
  </si>
  <si>
    <t>Kidneybohnen</t>
  </si>
  <si>
    <t>Sambal Oelek</t>
  </si>
  <si>
    <t>gr. Glas</t>
  </si>
  <si>
    <t>gr. Eimer</t>
  </si>
  <si>
    <t>Außer Haus Verpackungen</t>
  </si>
  <si>
    <t>Kiste</t>
  </si>
  <si>
    <t>Krakauer Bratwurst</t>
  </si>
  <si>
    <t>Sprühsahne Debic</t>
  </si>
  <si>
    <t>Eiswaffeln</t>
  </si>
  <si>
    <t>Glasreiniger</t>
  </si>
  <si>
    <t>gr. Paket</t>
  </si>
  <si>
    <t>Hänchen Wurst für hot dog</t>
  </si>
  <si>
    <t>Schweinerücken</t>
  </si>
  <si>
    <t>Frischkäse</t>
  </si>
  <si>
    <t>Thunfischdose groß (einzeln)</t>
  </si>
  <si>
    <t xml:space="preserve">Joghurt </t>
  </si>
  <si>
    <t>Sauerkraut</t>
  </si>
  <si>
    <t>Schweinefilet</t>
  </si>
  <si>
    <t>Latex Handschuhe Gr.M ungepudert</t>
  </si>
  <si>
    <t>Krautsalat</t>
  </si>
  <si>
    <t>H - Milch 3,5 %</t>
  </si>
  <si>
    <t>Frische Tortellini-Mozzarella füllung</t>
  </si>
  <si>
    <t xml:space="preserve">5 kg </t>
  </si>
  <si>
    <t>Cheddar Scheiben</t>
  </si>
  <si>
    <t>To go box</t>
  </si>
  <si>
    <t>Packung</t>
  </si>
  <si>
    <t>Madeira</t>
  </si>
  <si>
    <t>Gelantine</t>
  </si>
  <si>
    <t>Printen</t>
  </si>
  <si>
    <t>Creme Fraiche</t>
  </si>
  <si>
    <t>Fladenbrot</t>
  </si>
  <si>
    <t>Erbsen</t>
  </si>
  <si>
    <t>2,5kg</t>
  </si>
  <si>
    <t>Kinderpunch</t>
  </si>
  <si>
    <t>flasche</t>
  </si>
  <si>
    <t>grüne Bohnen</t>
  </si>
  <si>
    <t>Trockenlager</t>
  </si>
  <si>
    <t>Mayonnaise</t>
  </si>
  <si>
    <t xml:space="preserve">Baker &amp; Baker - Blaubeermuffins </t>
  </si>
  <si>
    <t>Baker &amp; Baker - Schokomuffins</t>
  </si>
  <si>
    <t>Rote Linsen</t>
  </si>
  <si>
    <t>Kühllager</t>
  </si>
  <si>
    <t>Steinpilze</t>
  </si>
  <si>
    <t>Schmand</t>
  </si>
  <si>
    <t xml:space="preserve">1l </t>
  </si>
  <si>
    <t>Vanillezucker</t>
  </si>
  <si>
    <t>Alufolie</t>
  </si>
  <si>
    <t>Drahtschwämme, groß</t>
  </si>
  <si>
    <t>H - Milch 1,5 %</t>
  </si>
  <si>
    <t>Thunfischkonserven</t>
  </si>
  <si>
    <t>3/1 Dose</t>
  </si>
  <si>
    <t>Latex Handschuhe Gr.L ungepudert</t>
  </si>
  <si>
    <t>Gewürzgurken(Scheiben)</t>
  </si>
  <si>
    <t>Schnelldesinfektion</t>
  </si>
  <si>
    <t>1 kg Beutel</t>
  </si>
  <si>
    <t>Sardellen</t>
  </si>
  <si>
    <t>Schwarze pfefferkörner</t>
  </si>
  <si>
    <t>Salz 2000Stk (Kleine Tüten)</t>
  </si>
  <si>
    <t>Pfeffer 2000Stk (Kleine Tüten)</t>
  </si>
  <si>
    <t>Zucker</t>
  </si>
  <si>
    <t>Rohzucker</t>
  </si>
  <si>
    <t>Stiel-Kapern</t>
  </si>
  <si>
    <t>Pfeffer, weiß, gemahlen</t>
  </si>
  <si>
    <t>Muskatnuss gemahlen</t>
  </si>
  <si>
    <t>Currysauce</t>
  </si>
  <si>
    <t>Tafelsenf</t>
  </si>
  <si>
    <t>Peperonie</t>
  </si>
  <si>
    <t>Getrocknete Tymian</t>
  </si>
  <si>
    <t>Currypulver</t>
  </si>
  <si>
    <t>Rote Beete (Streifen)</t>
  </si>
  <si>
    <t>Dose!!!!</t>
  </si>
  <si>
    <t>Naturjoghurt</t>
  </si>
  <si>
    <t>Zuckersticks</t>
  </si>
  <si>
    <t>Burrata</t>
  </si>
  <si>
    <t>Gebinde</t>
  </si>
  <si>
    <t>Vanilleschote (Wo mehrere drin sind)</t>
  </si>
  <si>
    <t>5 kg</t>
  </si>
  <si>
    <t>Aktiv</t>
  </si>
  <si>
    <t>10er Paket</t>
  </si>
  <si>
    <t>5kg!!!</t>
  </si>
  <si>
    <t>Glühwein</t>
  </si>
  <si>
    <t>Räucherlachs (TK)</t>
  </si>
  <si>
    <t>Seite</t>
  </si>
  <si>
    <t>Knusperschnitzel Schwein (230g)</t>
  </si>
  <si>
    <t>Fischstäbchen (5kg)</t>
  </si>
  <si>
    <t>Dunkle Beeren</t>
  </si>
  <si>
    <t>Lachsfilet (150g)</t>
  </si>
  <si>
    <t>Chicken Nuggets</t>
  </si>
  <si>
    <t>Dorade-Filets</t>
  </si>
  <si>
    <t>Lager</t>
  </si>
  <si>
    <t>TL</t>
  </si>
  <si>
    <t>KL</t>
  </si>
  <si>
    <t>TK</t>
  </si>
  <si>
    <t>Min</t>
  </si>
  <si>
    <t>Max</t>
  </si>
  <si>
    <t>Pütz</t>
  </si>
  <si>
    <t>Heute=</t>
  </si>
  <si>
    <t>Morgen=</t>
  </si>
  <si>
    <t>10l Eimer</t>
  </si>
  <si>
    <t>Kartoffelsalat (Mayo)</t>
  </si>
  <si>
    <t>Kartoffelsalat (Essig-Öl)</t>
  </si>
  <si>
    <t>Rote Beete in Streifen</t>
  </si>
  <si>
    <t>Tagliatelle (Ristorante, Rana)</t>
  </si>
  <si>
    <t>Spätzle (frisch)</t>
  </si>
  <si>
    <t>Mehl (405 oder 550)</t>
  </si>
  <si>
    <t>10x 1kg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</si>
</sst>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0"/>
      <name val="Arial"/>
    </font>
    <font>
      <b/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2"/>
      <name val="Impact"/>
      <family val="2"/>
    </font>
    <font>
      <b/>
      <sz val="20"/>
      <name val="Arial"/>
      <family val="2"/>
    </font>
    <font>
      <sz val="20"/>
      <name val="Aptos ExtraBold"/>
      <family val="2"/>
    </font>
    <font>
      <b/>
      <sz val="20"/>
      <name val="Aptos"/>
      <family val="2"/>
    </font>
    <font>
      <b/>
      <sz val="28"/>
      <name val="Aptos"/>
      <family val="2"/>
    </font>
    <font>
      <b/>
      <sz val="11"/>
      <name val="Aptos"/>
      <family val="2"/>
    </font>
    <font>
      <b/>
      <u/>
      <sz val="22"/>
      <name val="Aptos"/>
      <family val="2"/>
    </font>
    <font>
      <sz val="36"/>
      <name val="Aptos"/>
      <family val="2"/>
    </font>
    <font>
      <b/>
      <sz val="36"/>
      <name val="Aptos"/>
      <family val="2"/>
    </font>
    <font>
      <sz val="20"/>
      <name val="Aptos"/>
      <family val="2"/>
    </font>
    <font>
      <sz val="28"/>
      <name val="Aptos ExtraBold"/>
      <family val="2"/>
    </font>
    <font>
      <i/>
      <sz val="28"/>
      <name val="Aptos"/>
      <family val="2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sz val="10"/>
      <name val="Arial"/>
      <family val="2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5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/>
  </cellStyleXfs>
  <cellXfs count="128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1" xfId="0" applyFont="1" applyBorder="1"/>
    <xf numFmtId="0" fontId="5" fillId="0" borderId="2" xfId="0" applyFont="1" applyBorder="1"/>
    <xf numFmtId="0" fontId="5" fillId="0" borderId="3" xfId="0" applyFont="1" applyBorder="1"/>
    <xf numFmtId="0" fontId="2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0" xfId="0" applyFont="1"/>
    <xf numFmtId="0" fontId="6" fillId="0" borderId="1" xfId="0" applyFont="1" applyBorder="1"/>
    <xf numFmtId="0" fontId="1" fillId="0" borderId="10" xfId="0" applyFont="1" applyBorder="1"/>
    <xf numFmtId="0" fontId="1" fillId="0" borderId="0" xfId="0" applyFont="1"/>
    <xf numFmtId="0" fontId="2" fillId="0" borderId="11" xfId="0" applyFont="1" applyBorder="1"/>
    <xf numFmtId="0" fontId="1" fillId="0" borderId="12" xfId="0" applyFont="1" applyBorder="1"/>
    <xf numFmtId="0" fontId="4" fillId="0" borderId="12" xfId="0" applyFont="1" applyBorder="1"/>
    <xf numFmtId="0" fontId="1" fillId="0" borderId="13" xfId="0" applyFont="1" applyBorder="1"/>
    <xf numFmtId="0" fontId="9" fillId="0" borderId="5" xfId="0" applyFont="1" applyBorder="1" applyAlignment="1">
      <alignment vertical="center"/>
    </xf>
    <xf numFmtId="0" fontId="9" fillId="0" borderId="12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0" fontId="8" fillId="0" borderId="15" xfId="0" applyFont="1" applyBorder="1" applyAlignment="1">
      <alignment horizontal="left" vertical="center"/>
    </xf>
    <xf numFmtId="0" fontId="8" fillId="0" borderId="16" xfId="0" applyFont="1" applyBorder="1" applyAlignment="1">
      <alignment vertical="center"/>
    </xf>
    <xf numFmtId="14" fontId="8" fillId="0" borderId="10" xfId="0" applyNumberFormat="1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0" xfId="0" applyFont="1" applyAlignment="1">
      <alignment horizontal="right" vertical="center"/>
    </xf>
    <xf numFmtId="0" fontId="8" fillId="0" borderId="18" xfId="0" applyFont="1" applyBorder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18" xfId="0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18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4" fillId="0" borderId="5" xfId="0" applyFont="1" applyBorder="1" applyAlignment="1">
      <alignment vertical="center"/>
    </xf>
    <xf numFmtId="0" fontId="14" fillId="0" borderId="12" xfId="0" applyFont="1" applyBorder="1" applyAlignment="1">
      <alignment vertical="center"/>
    </xf>
    <xf numFmtId="0" fontId="14" fillId="0" borderId="19" xfId="0" applyFont="1" applyBorder="1" applyAlignment="1">
      <alignment vertical="center"/>
    </xf>
    <xf numFmtId="0" fontId="14" fillId="0" borderId="20" xfId="0" applyFont="1" applyBorder="1" applyAlignment="1">
      <alignment vertical="center"/>
    </xf>
    <xf numFmtId="0" fontId="14" fillId="0" borderId="21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7" fillId="0" borderId="12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left" vertical="center"/>
    </xf>
    <xf numFmtId="0" fontId="6" fillId="0" borderId="27" xfId="0" applyFont="1" applyBorder="1" applyAlignment="1">
      <alignment horizontal="center" vertical="center"/>
    </xf>
    <xf numFmtId="0" fontId="6" fillId="0" borderId="27" xfId="0" applyFont="1" applyBorder="1" applyAlignment="1">
      <alignment vertical="center"/>
    </xf>
    <xf numFmtId="0" fontId="6" fillId="0" borderId="28" xfId="0" applyFont="1" applyBorder="1" applyAlignment="1">
      <alignment vertical="center"/>
    </xf>
    <xf numFmtId="0" fontId="6" fillId="0" borderId="29" xfId="0" applyFont="1" applyBorder="1" applyAlignment="1">
      <alignment horizontal="center" vertical="center"/>
    </xf>
    <xf numFmtId="0" fontId="6" fillId="0" borderId="26" xfId="0" applyFont="1" applyBorder="1" applyAlignment="1">
      <alignment vertical="center"/>
    </xf>
    <xf numFmtId="0" fontId="6" fillId="0" borderId="30" xfId="0" applyFont="1" applyBorder="1" applyAlignment="1">
      <alignment horizontal="left" vertical="center"/>
    </xf>
    <xf numFmtId="0" fontId="6" fillId="0" borderId="31" xfId="0" applyFont="1" applyBorder="1" applyAlignment="1">
      <alignment horizontal="center" vertical="center"/>
    </xf>
    <xf numFmtId="0" fontId="6" fillId="0" borderId="31" xfId="0" applyFont="1" applyBorder="1" applyAlignment="1">
      <alignment vertical="center"/>
    </xf>
    <xf numFmtId="0" fontId="6" fillId="0" borderId="32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0" fontId="6" fillId="0" borderId="33" xfId="0" applyFont="1" applyBorder="1" applyAlignment="1">
      <alignment horizontal="center" vertical="center"/>
    </xf>
    <xf numFmtId="0" fontId="6" fillId="0" borderId="34" xfId="0" applyFont="1" applyBorder="1" applyAlignment="1">
      <alignment horizontal="left" vertical="center"/>
    </xf>
    <xf numFmtId="0" fontId="6" fillId="0" borderId="35" xfId="0" applyFont="1" applyBorder="1" applyAlignment="1">
      <alignment horizontal="center" vertical="center"/>
    </xf>
    <xf numFmtId="0" fontId="6" fillId="0" borderId="35" xfId="0" applyFont="1" applyBorder="1" applyAlignment="1">
      <alignment vertical="center"/>
    </xf>
    <xf numFmtId="0" fontId="6" fillId="0" borderId="36" xfId="0" applyFont="1" applyBorder="1" applyAlignment="1">
      <alignment vertical="center"/>
    </xf>
    <xf numFmtId="0" fontId="6" fillId="0" borderId="34" xfId="0" applyFont="1" applyBorder="1" applyAlignment="1">
      <alignment vertical="center"/>
    </xf>
    <xf numFmtId="0" fontId="6" fillId="0" borderId="37" xfId="0" applyFont="1" applyBorder="1" applyAlignment="1">
      <alignment horizontal="center" vertical="center"/>
    </xf>
    <xf numFmtId="0" fontId="6" fillId="0" borderId="44" xfId="0" applyFont="1" applyBorder="1" applyAlignment="1">
      <alignment vertical="center"/>
    </xf>
    <xf numFmtId="0" fontId="6" fillId="0" borderId="45" xfId="0" applyFont="1" applyBorder="1" applyAlignment="1">
      <alignment horizontal="center" vertical="center"/>
    </xf>
    <xf numFmtId="0" fontId="6" fillId="0" borderId="45" xfId="0" applyFont="1" applyBorder="1" applyAlignment="1">
      <alignment vertical="center"/>
    </xf>
    <xf numFmtId="0" fontId="6" fillId="0" borderId="46" xfId="0" applyFont="1" applyBorder="1" applyAlignment="1">
      <alignment vertical="center"/>
    </xf>
    <xf numFmtId="0" fontId="6" fillId="0" borderId="44" xfId="0" applyFont="1" applyBorder="1" applyAlignment="1">
      <alignment horizontal="left" vertical="center"/>
    </xf>
    <xf numFmtId="0" fontId="6" fillId="0" borderId="47" xfId="0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0" fillId="2" borderId="5" xfId="0" applyFill="1" applyBorder="1"/>
    <xf numFmtId="0" fontId="0" fillId="3" borderId="5" xfId="0" applyFill="1" applyBorder="1"/>
    <xf numFmtId="0" fontId="0" fillId="4" borderId="0" xfId="0" applyFill="1"/>
    <xf numFmtId="0" fontId="17" fillId="0" borderId="0" xfId="0" applyFont="1"/>
    <xf numFmtId="0" fontId="17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0" xfId="0" applyFont="1" applyAlignment="1">
      <alignment horizontal="left"/>
    </xf>
    <xf numFmtId="0" fontId="0" fillId="4" borderId="5" xfId="0" applyFill="1" applyBorder="1"/>
    <xf numFmtId="0" fontId="18" fillId="0" borderId="0" xfId="0" applyFont="1"/>
    <xf numFmtId="0" fontId="19" fillId="0" borderId="0" xfId="1"/>
    <xf numFmtId="0" fontId="20" fillId="0" borderId="0" xfId="1" applyFont="1"/>
    <xf numFmtId="0" fontId="19" fillId="0" borderId="37" xfId="1" applyBorder="1"/>
    <xf numFmtId="0" fontId="20" fillId="0" borderId="35" xfId="1" applyFont="1" applyBorder="1"/>
    <xf numFmtId="0" fontId="20" fillId="0" borderId="34" xfId="1" applyFont="1" applyBorder="1"/>
    <xf numFmtId="0" fontId="19" fillId="0" borderId="29" xfId="1" applyBorder="1"/>
    <xf numFmtId="0" fontId="20" fillId="0" borderId="27" xfId="1" applyFont="1" applyBorder="1"/>
    <xf numFmtId="0" fontId="20" fillId="0" borderId="26" xfId="1" applyFont="1" applyBorder="1"/>
    <xf numFmtId="0" fontId="19" fillId="0" borderId="48" xfId="1" applyBorder="1"/>
    <xf numFmtId="0" fontId="20" fillId="0" borderId="49" xfId="1" applyFont="1" applyBorder="1"/>
    <xf numFmtId="0" fontId="20" fillId="0" borderId="50" xfId="1" applyFont="1" applyBorder="1"/>
    <xf numFmtId="0" fontId="21" fillId="0" borderId="51" xfId="1" applyFont="1" applyBorder="1"/>
    <xf numFmtId="0" fontId="21" fillId="0" borderId="52" xfId="1" applyFont="1" applyBorder="1"/>
    <xf numFmtId="0" fontId="22" fillId="0" borderId="21" xfId="1" applyFont="1" applyBorder="1"/>
    <xf numFmtId="0" fontId="20" fillId="0" borderId="20" xfId="1" applyFont="1" applyBorder="1"/>
    <xf numFmtId="0" fontId="20" fillId="0" borderId="19" xfId="1" applyFont="1" applyBorder="1"/>
    <xf numFmtId="0" fontId="22" fillId="0" borderId="16" xfId="1" applyFont="1" applyBorder="1"/>
    <xf numFmtId="0" fontId="20" fillId="0" borderId="15" xfId="1" applyFont="1" applyBorder="1"/>
    <xf numFmtId="0" fontId="23" fillId="0" borderId="14" xfId="1" applyFont="1" applyBorder="1"/>
    <xf numFmtId="0" fontId="21" fillId="0" borderId="53" xfId="1" applyFont="1" applyBorder="1"/>
    <xf numFmtId="0" fontId="19" fillId="0" borderId="0" xfId="0" applyFont="1"/>
    <xf numFmtId="0" fontId="19" fillId="5" borderId="14" xfId="0" applyFont="1" applyFill="1" applyBorder="1" applyAlignment="1">
      <alignment horizontal="right"/>
    </xf>
    <xf numFmtId="14" fontId="0" fillId="5" borderId="16" xfId="0" applyNumberFormat="1" applyFill="1" applyBorder="1"/>
    <xf numFmtId="0" fontId="19" fillId="5" borderId="19" xfId="0" applyFont="1" applyFill="1" applyBorder="1" applyAlignment="1">
      <alignment horizontal="right"/>
    </xf>
    <xf numFmtId="14" fontId="0" fillId="5" borderId="21" xfId="0" applyNumberFormat="1" applyFill="1" applyBorder="1"/>
    <xf numFmtId="0" fontId="18" fillId="0" borderId="0" xfId="0" applyFont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14" fontId="16" fillId="0" borderId="40" xfId="0" applyNumberFormat="1" applyFont="1" applyBorder="1" applyAlignment="1">
      <alignment horizontal="left" vertical="center"/>
    </xf>
    <xf numFmtId="14" fontId="16" fillId="0" borderId="38" xfId="0" applyNumberFormat="1" applyFont="1" applyBorder="1" applyAlignment="1">
      <alignment horizontal="left" vertical="center"/>
    </xf>
    <xf numFmtId="14" fontId="16" fillId="0" borderId="10" xfId="0" applyNumberFormat="1" applyFont="1" applyBorder="1" applyAlignment="1">
      <alignment horizontal="left" vertical="center"/>
    </xf>
    <xf numFmtId="14" fontId="9" fillId="0" borderId="38" xfId="0" applyNumberFormat="1" applyFont="1" applyBorder="1" applyAlignment="1">
      <alignment horizontal="right" vertical="center"/>
    </xf>
    <xf numFmtId="14" fontId="9" fillId="0" borderId="10" xfId="0" applyNumberFormat="1" applyFont="1" applyBorder="1" applyAlignment="1">
      <alignment horizontal="right" vertical="center"/>
    </xf>
    <xf numFmtId="0" fontId="13" fillId="0" borderId="41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</cellXfs>
  <cellStyles count="2">
    <cellStyle name="Standard" xfId="0" builtinId="0"/>
    <cellStyle name="Standard 2" xfId="1" xr:uid="{641AD807-BB72-48AD-9E95-730A66A987AF}"/>
  </cellStyles>
  <dxfs count="17"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1/relationships/FeaturePropertyBag" Target="featurePropertyBag/featurePropertyBag.xml"/><Relationship Id="rId5" Type="http://schemas.openxmlformats.org/officeDocument/2006/relationships/externalLink" Target="externalLinks/externalLink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</xdr:colOff>
      <xdr:row>4</xdr:row>
      <xdr:rowOff>19050</xdr:rowOff>
    </xdr:from>
    <xdr:to>
      <xdr:col>14</xdr:col>
      <xdr:colOff>625475</xdr:colOff>
      <xdr:row>4</xdr:row>
      <xdr:rowOff>311150</xdr:rowOff>
    </xdr:to>
    <xdr:sp macro="" textlink="">
      <xdr:nvSpPr>
        <xdr:cNvPr id="41" name="Rechteck: abgerundete Ecken 40">
          <a:extLst>
            <a:ext uri="{FF2B5EF4-FFF2-40B4-BE49-F238E27FC236}">
              <a16:creationId xmlns:a16="http://schemas.microsoft.com/office/drawing/2014/main" id="{707F1AD8-A490-A5AA-80AE-C7B4C2A1CE0F}"/>
            </a:ext>
          </a:extLst>
        </xdr:cNvPr>
        <xdr:cNvSpPr/>
      </xdr:nvSpPr>
      <xdr:spPr>
        <a:xfrm>
          <a:off x="17745075" y="1876425"/>
          <a:ext cx="1358900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/>
            <a:t>Reset ausführen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kurundbadegesellschaft-my.sharepoint.com/personal/gastronomie_carolus-thermen_de/Documents/Desktop/Gastronomie/_Bastian/Lieferanten/OGA-Bestellung%20Kochkultur.xlsm" TargetMode="External"/><Relationship Id="rId1" Type="http://schemas.openxmlformats.org/officeDocument/2006/relationships/externalLinkPath" Target="OGA-Bestellung%20Kochkultu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estellung"/>
      <sheetName val="Artikel"/>
      <sheetName val="Helper"/>
    </sheetNames>
    <sheetDataSet>
      <sheetData sheetId="0"/>
      <sheetData sheetId="1"/>
      <sheetData sheetId="2">
        <row r="1">
          <cell r="A1" t="str">
            <v>Ananas</v>
          </cell>
          <cell r="H1">
            <v>75</v>
          </cell>
        </row>
      </sheetData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CF3F51-B485-4BF5-883F-7F8E2D617F55}" name="tblArtikel" displayName="tblArtikel" ref="A1:G159" totalsRowShown="0" headerRowDxfId="9" dataDxfId="8" tableBorderDxfId="7">
  <autoFilter ref="A1:G159" xr:uid="{E6CF3F51-B485-4BF5-883F-7F8E2D617F55}">
    <filterColumn colId="5">
      <filters>
        <filter val="TK"/>
      </filters>
    </filterColumn>
    <filterColumn colId="6">
      <filters>
        <filter val="WAHR"/>
      </filters>
    </filterColumn>
  </autoFilter>
  <sortState xmlns:xlrd2="http://schemas.microsoft.com/office/spreadsheetml/2017/richdata2" ref="A7:G141">
    <sortCondition ref="F1:F158"/>
  </sortState>
  <tableColumns count="7">
    <tableColumn id="1" xr3:uid="{76222E81-F4F2-4560-8868-C0936C180CDC}" name="Artikel" dataDxfId="6"/>
    <tableColumn id="2" xr3:uid="{A2D8118E-46ED-4E80-8804-4EE8087F0160}" name="Gebinde" dataDxfId="5"/>
    <tableColumn id="7" xr3:uid="{04D1E086-2F0B-4B5E-8153-0641EFB323F8}" name="Min" dataDxfId="4"/>
    <tableColumn id="6" xr3:uid="{8A2C2909-8C08-4F94-A061-9F8F6D93A10C}" name="Max" dataDxfId="3"/>
    <tableColumn id="3" xr3:uid="{7D3346CA-557B-49C3-8A35-E76D51FA0467}" name="Menge" dataDxfId="2"/>
    <tableColumn id="5" xr3:uid="{4D9456F2-BE61-45CD-8324-7358B42F9A28}" name="Lager" dataDxfId="1"/>
    <tableColumn id="4" xr3:uid="{628BB5BC-9058-465B-BFF0-B6CF8F9642B4}" name="Akt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F4EDD-009A-4896-9911-605342BB26BC}">
  <sheetPr codeName="Tabelle1">
    <tabColor rgb="FFFF0000"/>
    <pageSetUpPr fitToPage="1"/>
  </sheetPr>
  <dimension ref="A1:IF123"/>
  <sheetViews>
    <sheetView tabSelected="1" zoomScale="40" zoomScaleNormal="40" zoomScaleSheetLayoutView="50" workbookViewId="0">
      <selection activeCell="C10" sqref="C10"/>
    </sheetView>
  </sheetViews>
  <sheetFormatPr baseColWidth="10" defaultRowHeight="12.75" x14ac:dyDescent="0.2"/>
  <cols>
    <col min="1" max="1" width="80.7109375" style="1" customWidth="1"/>
    <col min="2" max="2" width="34.85546875" style="1" customWidth="1"/>
    <col min="3" max="3" width="18.7109375" style="1" customWidth="1"/>
    <col min="4" max="4" width="12" style="1" hidden="1" customWidth="1"/>
    <col min="5" max="6" width="11.42578125" style="1" hidden="1" customWidth="1"/>
    <col min="7" max="7" width="80.42578125" style="1" customWidth="1"/>
    <col min="8" max="8" width="35" style="1" customWidth="1"/>
    <col min="9" max="9" width="22.28515625" style="1" customWidth="1"/>
    <col min="10" max="11" width="0" style="1" hidden="1" customWidth="1"/>
    <col min="12" max="27" width="11.42578125" style="1"/>
    <col min="28" max="28" width="18.140625" style="1" bestFit="1" customWidth="1"/>
    <col min="29" max="16384" width="11.42578125" style="1"/>
  </cols>
  <sheetData>
    <row r="1" spans="1:240" s="9" customFormat="1" ht="45.95" customHeight="1" thickTop="1" thickBot="1" x14ac:dyDescent="0.3">
      <c r="A1" s="125" t="s">
        <v>38</v>
      </c>
      <c r="B1" s="126"/>
      <c r="C1" s="126"/>
      <c r="D1" s="126"/>
      <c r="E1" s="126"/>
      <c r="F1" s="126"/>
      <c r="G1" s="126"/>
      <c r="H1" s="126"/>
      <c r="I1" s="127"/>
      <c r="K1" s="19"/>
      <c r="L1" s="1"/>
      <c r="M1" s="1"/>
      <c r="N1" s="1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</row>
    <row r="2" spans="1:240" s="10" customFormat="1" ht="45.95" customHeight="1" thickBot="1" x14ac:dyDescent="0.3">
      <c r="A2" s="120">
        <f ca="1">Helfer!AC2</f>
        <v>46113</v>
      </c>
      <c r="B2" s="121"/>
      <c r="C2" s="122"/>
      <c r="D2" s="23"/>
      <c r="E2" s="23"/>
      <c r="F2" s="23"/>
      <c r="G2" s="24" t="s">
        <v>14</v>
      </c>
      <c r="H2" s="123">
        <f ca="1">Helfer!AC3</f>
        <v>46114</v>
      </c>
      <c r="I2" s="124"/>
      <c r="K2" s="20"/>
      <c r="L2" s="18"/>
      <c r="M2" s="18"/>
      <c r="N2" s="18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</row>
    <row r="3" spans="1:240" s="10" customFormat="1" ht="29.25" thickBot="1" x14ac:dyDescent="0.3">
      <c r="A3" s="25" t="s">
        <v>4</v>
      </c>
      <c r="B3" s="26"/>
      <c r="C3" s="27"/>
      <c r="D3" s="28"/>
      <c r="E3" s="29"/>
      <c r="F3" s="30"/>
      <c r="G3" s="25" t="s">
        <v>0</v>
      </c>
      <c r="H3" s="31"/>
      <c r="I3" s="32"/>
      <c r="J3" s="17"/>
      <c r="K3" s="20"/>
      <c r="L3" s="18"/>
      <c r="M3" s="18"/>
      <c r="N3" s="18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</row>
    <row r="4" spans="1:240" s="10" customFormat="1" ht="27" thickBot="1" x14ac:dyDescent="0.3">
      <c r="A4" s="33" t="s">
        <v>39</v>
      </c>
      <c r="B4" s="34"/>
      <c r="C4" s="35"/>
      <c r="D4" s="28">
        <v>36661</v>
      </c>
      <c r="E4" s="29"/>
      <c r="F4" s="30"/>
      <c r="G4" s="33" t="s">
        <v>22</v>
      </c>
      <c r="H4" s="36"/>
      <c r="I4" s="37"/>
      <c r="J4" s="17"/>
      <c r="K4" s="20"/>
      <c r="L4" s="18"/>
      <c r="M4" s="18"/>
      <c r="N4" s="18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</row>
    <row r="5" spans="1:240" s="10" customFormat="1" ht="27" thickBot="1" x14ac:dyDescent="0.3">
      <c r="A5" s="38" t="s">
        <v>40</v>
      </c>
      <c r="B5" s="39" t="s">
        <v>36</v>
      </c>
      <c r="C5" s="40"/>
      <c r="D5" s="41"/>
      <c r="E5" s="42"/>
      <c r="F5" s="43"/>
      <c r="G5" s="38" t="s">
        <v>32</v>
      </c>
      <c r="H5" s="36"/>
      <c r="I5" s="37"/>
      <c r="J5" s="17"/>
      <c r="K5" s="21"/>
      <c r="L5" s="18"/>
      <c r="M5" s="18"/>
      <c r="N5" s="18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</row>
    <row r="6" spans="1:240" s="10" customFormat="1" ht="27" thickBot="1" x14ac:dyDescent="0.3">
      <c r="A6" s="44" t="s">
        <v>5</v>
      </c>
      <c r="B6" s="45" t="s">
        <v>41</v>
      </c>
      <c r="C6" s="46"/>
      <c r="D6" s="41"/>
      <c r="E6" s="42"/>
      <c r="F6" s="43"/>
      <c r="G6" s="44" t="s">
        <v>31</v>
      </c>
      <c r="H6" s="47"/>
      <c r="I6" s="48"/>
      <c r="J6" s="17"/>
      <c r="K6" s="20"/>
      <c r="L6" s="18"/>
      <c r="M6" s="18"/>
      <c r="N6" s="18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</row>
    <row r="7" spans="1:240" s="11" customFormat="1" ht="45.95" customHeight="1" thickBot="1" x14ac:dyDescent="0.3">
      <c r="A7" s="117" t="s">
        <v>35</v>
      </c>
      <c r="B7" s="118"/>
      <c r="C7" s="118"/>
      <c r="D7" s="118"/>
      <c r="E7" s="118"/>
      <c r="F7" s="118"/>
      <c r="G7" s="118"/>
      <c r="H7" s="118"/>
      <c r="I7" s="119"/>
      <c r="K7" s="22"/>
      <c r="L7" s="18"/>
      <c r="M7" s="18"/>
      <c r="N7" s="18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</row>
    <row r="8" spans="1:240" s="5" customFormat="1" ht="45.95" customHeight="1" thickTop="1" thickBot="1" x14ac:dyDescent="0.3">
      <c r="A8" s="49" t="s">
        <v>1</v>
      </c>
      <c r="B8" s="50" t="s">
        <v>2</v>
      </c>
      <c r="C8" s="50" t="s">
        <v>3</v>
      </c>
      <c r="D8" s="50"/>
      <c r="E8" s="50"/>
      <c r="F8" s="51"/>
      <c r="G8" s="52" t="s">
        <v>1</v>
      </c>
      <c r="H8" s="50" t="s">
        <v>2</v>
      </c>
      <c r="I8" s="53" t="s">
        <v>3</v>
      </c>
      <c r="J8" s="7"/>
      <c r="K8" s="8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</row>
    <row r="9" spans="1:240" ht="45.95" customHeight="1" thickBot="1" x14ac:dyDescent="0.45">
      <c r="A9" s="114" t="s">
        <v>162</v>
      </c>
      <c r="B9" s="115"/>
      <c r="C9" s="115"/>
      <c r="D9" s="115"/>
      <c r="E9" s="115"/>
      <c r="F9" s="115"/>
      <c r="G9" s="115"/>
      <c r="H9" s="115"/>
      <c r="I9" s="116"/>
      <c r="J9" s="12"/>
      <c r="K9" s="13"/>
      <c r="L9" s="14"/>
    </row>
    <row r="10" spans="1:240" ht="45.95" customHeight="1" x14ac:dyDescent="0.4">
      <c r="A10" s="64" t="str" cm="1">
        <f t="array" ref="A10:A47">INDEX(_xlfn.ANCHORARRAY(hlpTL),_xlfn.SEQUENCE(ROUNDUP(hlpCountTL/2,0)),)</f>
        <v>Apfelmus</v>
      </c>
      <c r="B10" s="61" t="str" cm="1">
        <f t="array" ref="B10:B47">INDEX(_xlfn.ANCHORARRAY(hlpTL),_xlfn.SEQUENCE(ROUNDUP(hlpCountTL/2,0)),2)</f>
        <v>gr. Dose</v>
      </c>
      <c r="C10" s="61" cm="1">
        <f t="array" ref="C10:C47">INDEX(_xlfn.ANCHORARRAY(hlpTL),_xlfn.SEQUENCE(ROUNDUP(hlpCountTL/2,0)),5)</f>
        <v>0</v>
      </c>
      <c r="D10" s="62"/>
      <c r="E10" s="62"/>
      <c r="F10" s="63"/>
      <c r="G10" s="60" t="str" cm="1">
        <f t="array" ref="G10:G46">INDEX(_xlfn.ANCHORARRAY(hlpTL), _xlfn.SEQUENCE(ROUNDDOWN(hlpCountTL/2,0))+ROUNDUP(hlpCountTL/2,0),1)</f>
        <v>Penne</v>
      </c>
      <c r="H10" s="61" t="str" cm="1">
        <f t="array" ref="H10:H46">INDEX(_xlfn.ANCHORARRAY(hlpTL), _xlfn.SEQUENCE(ROUNDDOWN(hlpCountTL/2,0))+ROUNDUP(hlpCountTL/2,0),2)</f>
        <v>Paket</v>
      </c>
      <c r="I10" s="65" cm="1">
        <f t="array" ref="I10:I46">INDEX(_xlfn.ANCHORARRAY(hlpTL), _xlfn.SEQUENCE(ROUNDDOWN(hlpCountTL/2,0))+ROUNDUP(hlpCountTL/2,0),5)</f>
        <v>0</v>
      </c>
      <c r="J10" s="12"/>
      <c r="K10" s="13"/>
      <c r="L10" s="14"/>
    </row>
    <row r="11" spans="1:240" ht="45.95" customHeight="1" x14ac:dyDescent="0.4">
      <c r="A11" s="72" t="str">
        <v>Backpapier</v>
      </c>
      <c r="B11" s="73" t="str">
        <v>Rolle</v>
      </c>
      <c r="C11" s="73">
        <v>0</v>
      </c>
      <c r="D11" s="74"/>
      <c r="E11" s="74"/>
      <c r="F11" s="75"/>
      <c r="G11" s="76" t="str">
        <v>Peperonie</v>
      </c>
      <c r="H11" s="73" t="str">
        <v>Eimer</v>
      </c>
      <c r="I11" s="77">
        <v>0</v>
      </c>
      <c r="J11" s="12"/>
      <c r="K11" s="13"/>
      <c r="L11" s="14"/>
    </row>
    <row r="12" spans="1:240" ht="45.95" customHeight="1" x14ac:dyDescent="0.4">
      <c r="A12" s="72" t="str">
        <v>Backpulver</v>
      </c>
      <c r="B12" s="73" t="str">
        <v>Paket</v>
      </c>
      <c r="C12" s="73">
        <v>0</v>
      </c>
      <c r="D12" s="74"/>
      <c r="E12" s="74"/>
      <c r="F12" s="75"/>
      <c r="G12" s="76" t="str">
        <v>Pfeffer 2000Stk (Kleine Tüten)</v>
      </c>
      <c r="H12" s="73" t="str">
        <v>Karton</v>
      </c>
      <c r="I12" s="77">
        <v>0</v>
      </c>
      <c r="J12" s="12"/>
      <c r="K12" s="13"/>
      <c r="L12" s="14"/>
    </row>
    <row r="13" spans="1:240" ht="45.95" customHeight="1" x14ac:dyDescent="0.4">
      <c r="A13" s="72" t="str">
        <v>Balsamicoessig Dunkel</v>
      </c>
      <c r="B13" s="73" t="str">
        <v>Flasche</v>
      </c>
      <c r="C13" s="73">
        <v>0</v>
      </c>
      <c r="D13" s="74"/>
      <c r="E13" s="74"/>
      <c r="F13" s="75"/>
      <c r="G13" s="76" t="str">
        <v>Pfeffer, weiß, gemahlen</v>
      </c>
      <c r="H13" s="73" t="str">
        <v>Beutel</v>
      </c>
      <c r="I13" s="77">
        <v>0</v>
      </c>
      <c r="J13" s="12"/>
      <c r="K13" s="13"/>
      <c r="L13" s="14"/>
    </row>
    <row r="14" spans="1:240" ht="45.95" customHeight="1" x14ac:dyDescent="0.4">
      <c r="A14" s="72" t="str">
        <v>Balsamicoessig Hell</v>
      </c>
      <c r="B14" s="73" t="str">
        <v>Flasche</v>
      </c>
      <c r="C14" s="73">
        <v>6</v>
      </c>
      <c r="D14" s="74"/>
      <c r="E14" s="74"/>
      <c r="F14" s="75"/>
      <c r="G14" s="76" t="str">
        <v>Pflanzenöl</v>
      </c>
      <c r="H14" s="73" t="str">
        <v>10l. Kanister</v>
      </c>
      <c r="I14" s="77">
        <v>3</v>
      </c>
      <c r="J14" s="12"/>
      <c r="K14" s="13"/>
      <c r="L14" s="14"/>
    </row>
    <row r="15" spans="1:240" ht="45.95" customHeight="1" x14ac:dyDescent="0.4">
      <c r="A15" s="72" t="str">
        <v>Couscous</v>
      </c>
      <c r="B15" s="73" t="str">
        <v>kg</v>
      </c>
      <c r="C15" s="73">
        <v>0</v>
      </c>
      <c r="D15" s="74"/>
      <c r="E15" s="74"/>
      <c r="F15" s="75"/>
      <c r="G15" s="76" t="str">
        <v>Pinienkerne</v>
      </c>
      <c r="H15" s="73" t="str">
        <v>1 kg Beutel</v>
      </c>
      <c r="I15" s="77">
        <v>0</v>
      </c>
      <c r="J15" s="12"/>
      <c r="K15" s="13"/>
      <c r="L15" s="14"/>
    </row>
    <row r="16" spans="1:240" ht="45.95" customHeight="1" x14ac:dyDescent="0.4">
      <c r="A16" s="72" t="str">
        <v>Curryketchup</v>
      </c>
      <c r="B16" s="73" t="str">
        <v>10l Eimer</v>
      </c>
      <c r="C16" s="73">
        <v>0</v>
      </c>
      <c r="D16" s="74"/>
      <c r="E16" s="74"/>
      <c r="F16" s="75"/>
      <c r="G16" s="76" t="str">
        <v>Portwein</v>
      </c>
      <c r="H16" s="73" t="str">
        <v>1l. Flasche</v>
      </c>
      <c r="I16" s="77">
        <v>0</v>
      </c>
      <c r="J16" s="12"/>
      <c r="K16" s="13"/>
      <c r="L16" s="14"/>
    </row>
    <row r="17" spans="1:12" ht="45.95" customHeight="1" x14ac:dyDescent="0.4">
      <c r="A17" s="72" t="str">
        <v>Currypulver</v>
      </c>
      <c r="B17" s="73" t="str">
        <v>Beutel</v>
      </c>
      <c r="C17" s="73">
        <v>0</v>
      </c>
      <c r="D17" s="74"/>
      <c r="E17" s="74"/>
      <c r="F17" s="75"/>
      <c r="G17" s="76" t="str">
        <v>Printen</v>
      </c>
      <c r="H17" s="73" t="str">
        <v>kg</v>
      </c>
      <c r="I17" s="77">
        <v>0</v>
      </c>
      <c r="J17" s="12"/>
      <c r="K17" s="13"/>
      <c r="L17" s="14"/>
    </row>
    <row r="18" spans="1:12" ht="45.95" customHeight="1" x14ac:dyDescent="0.4">
      <c r="A18" s="72" t="str">
        <v>Drahtschwämme, groß</v>
      </c>
      <c r="B18" s="73" t="str">
        <v>Stück</v>
      </c>
      <c r="C18" s="73">
        <v>0</v>
      </c>
      <c r="D18" s="74"/>
      <c r="E18" s="74"/>
      <c r="F18" s="75"/>
      <c r="G18" s="76" t="str">
        <v>Puderzucker</v>
      </c>
      <c r="H18" s="73" t="str">
        <v>kg</v>
      </c>
      <c r="I18" s="77">
        <v>1</v>
      </c>
      <c r="J18" s="12"/>
      <c r="K18" s="13"/>
      <c r="L18" s="14"/>
    </row>
    <row r="19" spans="1:12" ht="45.95" customHeight="1" x14ac:dyDescent="0.4">
      <c r="A19" s="72" t="str">
        <v>Eiswaffeln</v>
      </c>
      <c r="B19" s="73" t="str">
        <v>Paket</v>
      </c>
      <c r="C19" s="73">
        <v>0</v>
      </c>
      <c r="D19" s="74"/>
      <c r="E19" s="74"/>
      <c r="F19" s="75"/>
      <c r="G19" s="76" t="str">
        <v>Risotto</v>
      </c>
      <c r="H19" s="73" t="str">
        <v>Beutel</v>
      </c>
      <c r="I19" s="77">
        <v>0</v>
      </c>
      <c r="J19" s="12"/>
      <c r="K19" s="13"/>
      <c r="L19" s="14"/>
    </row>
    <row r="20" spans="1:12" ht="45.95" customHeight="1" x14ac:dyDescent="0.4">
      <c r="A20" s="72" t="str">
        <v>Erdnüsse (gesalzen)</v>
      </c>
      <c r="B20" s="73" t="str">
        <v>Paket</v>
      </c>
      <c r="C20" s="73">
        <v>0</v>
      </c>
      <c r="D20" s="74"/>
      <c r="E20" s="74"/>
      <c r="F20" s="75"/>
      <c r="G20" s="76" t="str">
        <v>Rohzucker</v>
      </c>
      <c r="H20" s="73" t="str">
        <v>kg</v>
      </c>
      <c r="I20" s="77">
        <v>0</v>
      </c>
      <c r="J20" s="12"/>
      <c r="K20" s="13"/>
      <c r="L20" s="14"/>
    </row>
    <row r="21" spans="1:12" ht="45.95" customHeight="1" x14ac:dyDescent="0.4">
      <c r="A21" s="72" t="str">
        <v>Feines Speisesalz</v>
      </c>
      <c r="B21" s="73" t="str">
        <v>10kg Eimer</v>
      </c>
      <c r="C21" s="73">
        <v>0</v>
      </c>
      <c r="D21" s="74"/>
      <c r="E21" s="74"/>
      <c r="F21" s="75"/>
      <c r="G21" s="76" t="str">
        <v>Röstzwiebeln</v>
      </c>
      <c r="H21" s="73" t="str">
        <v>Beutel</v>
      </c>
      <c r="I21" s="77">
        <v>0</v>
      </c>
      <c r="J21" s="12"/>
      <c r="K21" s="13"/>
      <c r="L21" s="14"/>
    </row>
    <row r="22" spans="1:12" ht="45.95" customHeight="1" x14ac:dyDescent="0.4">
      <c r="A22" s="72" t="str">
        <v>Gelantine</v>
      </c>
      <c r="B22" s="73" t="str">
        <v>Paket</v>
      </c>
      <c r="C22" s="73">
        <v>0</v>
      </c>
      <c r="D22" s="74"/>
      <c r="E22" s="74"/>
      <c r="F22" s="75"/>
      <c r="G22" s="76" t="str">
        <v>Rote Beete (Streifen)</v>
      </c>
      <c r="H22" s="73" t="str">
        <v>Dose!!!!</v>
      </c>
      <c r="I22" s="77">
        <v>0</v>
      </c>
      <c r="J22" s="12"/>
      <c r="K22" s="13"/>
      <c r="L22" s="14"/>
    </row>
    <row r="23" spans="1:12" ht="45.95" customHeight="1" x14ac:dyDescent="0.4">
      <c r="A23" s="72" t="str">
        <v>Geschälte Tomaten in Dose</v>
      </c>
      <c r="B23" s="73" t="str">
        <v>Dose</v>
      </c>
      <c r="C23" s="73">
        <v>0</v>
      </c>
      <c r="D23" s="74"/>
      <c r="E23" s="74"/>
      <c r="F23" s="75"/>
      <c r="G23" s="76" t="str">
        <v>Rote Linsen</v>
      </c>
      <c r="H23" s="73" t="str">
        <v>5 kg Beutel</v>
      </c>
      <c r="I23" s="77">
        <v>0</v>
      </c>
      <c r="J23" s="12"/>
      <c r="K23" s="13"/>
      <c r="L23" s="14"/>
    </row>
    <row r="24" spans="1:12" ht="45.95" customHeight="1" x14ac:dyDescent="0.4">
      <c r="A24" s="72" t="str">
        <v>Getrocknete Tymian</v>
      </c>
      <c r="B24" s="73" t="str">
        <v>Beutel</v>
      </c>
      <c r="C24" s="73">
        <v>0</v>
      </c>
      <c r="D24" s="74"/>
      <c r="E24" s="74"/>
      <c r="F24" s="75"/>
      <c r="G24" s="76" t="str">
        <v>Sahne, haltbar</v>
      </c>
      <c r="H24" s="73" t="str">
        <v>1 l Tetra</v>
      </c>
      <c r="I24" s="77">
        <v>0</v>
      </c>
      <c r="J24" s="12"/>
      <c r="K24" s="13"/>
      <c r="L24" s="14"/>
    </row>
    <row r="25" spans="1:12" ht="45.95" customHeight="1" x14ac:dyDescent="0.4">
      <c r="A25" s="72" t="str">
        <v>Gewürzgurken(Scheiben)</v>
      </c>
      <c r="B25" s="73" t="str">
        <v>Dose</v>
      </c>
      <c r="C25" s="73">
        <v>0</v>
      </c>
      <c r="D25" s="74"/>
      <c r="E25" s="74"/>
      <c r="F25" s="75"/>
      <c r="G25" s="76" t="str">
        <v>Salz 2000Stk (Kleine Tüten)</v>
      </c>
      <c r="H25" s="73" t="str">
        <v>Karton</v>
      </c>
      <c r="I25" s="77">
        <v>0</v>
      </c>
      <c r="J25" s="12"/>
      <c r="K25" s="13"/>
      <c r="L25" s="14"/>
    </row>
    <row r="26" spans="1:12" ht="45.95" customHeight="1" x14ac:dyDescent="0.4">
      <c r="A26" s="72" t="str">
        <v>Glasreiniger</v>
      </c>
      <c r="B26" s="73" t="str">
        <v>Flasche</v>
      </c>
      <c r="C26" s="73">
        <v>0</v>
      </c>
      <c r="D26" s="74"/>
      <c r="E26" s="74"/>
      <c r="F26" s="75"/>
      <c r="G26" s="76" t="str">
        <v>Sardellen</v>
      </c>
      <c r="H26" s="73" t="str">
        <v>Dose</v>
      </c>
      <c r="I26" s="77">
        <v>0</v>
      </c>
      <c r="J26" s="12"/>
      <c r="K26" s="13"/>
      <c r="L26" s="14"/>
    </row>
    <row r="27" spans="1:12" ht="45.95" customHeight="1" x14ac:dyDescent="0.4">
      <c r="A27" s="72" t="str">
        <v>Gojibeeren</v>
      </c>
      <c r="B27" s="73" t="str">
        <v>Glas</v>
      </c>
      <c r="C27" s="73">
        <v>0</v>
      </c>
      <c r="D27" s="74"/>
      <c r="E27" s="74"/>
      <c r="F27" s="75"/>
      <c r="G27" s="76" t="str">
        <v>Sauerkraut</v>
      </c>
      <c r="H27" s="73" t="str">
        <v>gr. Dose</v>
      </c>
      <c r="I27" s="77">
        <v>0</v>
      </c>
      <c r="J27" s="12"/>
      <c r="K27" s="13"/>
      <c r="L27" s="14"/>
    </row>
    <row r="28" spans="1:12" ht="45.95" customHeight="1" x14ac:dyDescent="0.4">
      <c r="A28" s="72" t="str">
        <v>grüne Pefferkörner in Lake</v>
      </c>
      <c r="B28" s="73" t="str">
        <v>kl. Dose</v>
      </c>
      <c r="C28" s="73">
        <v>0</v>
      </c>
      <c r="D28" s="74"/>
      <c r="E28" s="74"/>
      <c r="F28" s="75"/>
      <c r="G28" s="76" t="str">
        <v>Schnelldesinfektion</v>
      </c>
      <c r="H28" s="73" t="str">
        <v>Flasche</v>
      </c>
      <c r="I28" s="77">
        <v>0</v>
      </c>
      <c r="J28" s="12"/>
      <c r="K28" s="13"/>
      <c r="L28" s="14"/>
    </row>
    <row r="29" spans="1:12" ht="45.95" customHeight="1" x14ac:dyDescent="0.4">
      <c r="A29" s="72" t="str">
        <v>H - Milch 1,5 %</v>
      </c>
      <c r="B29" s="73" t="str">
        <v>1 l</v>
      </c>
      <c r="C29" s="73">
        <v>24</v>
      </c>
      <c r="D29" s="74"/>
      <c r="E29" s="74"/>
      <c r="F29" s="75"/>
      <c r="G29" s="76" t="str">
        <v>Schokoladensauce</v>
      </c>
      <c r="H29" s="73" t="str">
        <v>2 l</v>
      </c>
      <c r="I29" s="77">
        <v>0</v>
      </c>
      <c r="J29" s="12"/>
      <c r="K29" s="13"/>
      <c r="L29" s="14"/>
    </row>
    <row r="30" spans="1:12" ht="45.95" customHeight="1" x14ac:dyDescent="0.4">
      <c r="A30" s="72" t="str">
        <v>Himbeersauce</v>
      </c>
      <c r="B30" s="73" t="str">
        <v>2 l</v>
      </c>
      <c r="C30" s="73">
        <v>0</v>
      </c>
      <c r="D30" s="74"/>
      <c r="E30" s="74"/>
      <c r="F30" s="75"/>
      <c r="G30" s="76" t="str">
        <v>Schwarze pfefferkörner</v>
      </c>
      <c r="H30" s="73" t="str">
        <v>Beutel</v>
      </c>
      <c r="I30" s="77">
        <v>0</v>
      </c>
      <c r="J30" s="12"/>
      <c r="K30" s="13"/>
      <c r="L30" s="14"/>
    </row>
    <row r="31" spans="1:12" ht="45.95" customHeight="1" x14ac:dyDescent="0.4">
      <c r="A31" s="54" t="str">
        <v>Honig in Spritzflaschen</v>
      </c>
      <c r="B31" s="55" t="str">
        <v>Flasche</v>
      </c>
      <c r="C31" s="55">
        <v>0</v>
      </c>
      <c r="D31" s="56"/>
      <c r="E31" s="56"/>
      <c r="F31" s="57"/>
      <c r="G31" s="59" t="str">
        <v>Servietten (33 mal 33 - 1/8 Falz)</v>
      </c>
      <c r="H31" s="55" t="str">
        <v>Karton</v>
      </c>
      <c r="I31" s="58">
        <v>0</v>
      </c>
      <c r="J31" s="12"/>
      <c r="K31" s="13"/>
      <c r="L31" s="14"/>
    </row>
    <row r="32" spans="1:12" ht="45.95" customHeight="1" x14ac:dyDescent="0.4">
      <c r="A32" s="59" t="str">
        <v>Kichererbsen</v>
      </c>
      <c r="B32" s="55" t="str">
        <v>Dose</v>
      </c>
      <c r="C32" s="55">
        <v>0</v>
      </c>
      <c r="D32" s="56"/>
      <c r="E32" s="56"/>
      <c r="F32" s="57"/>
      <c r="G32" s="54" t="str">
        <v>Spaghetti (Barilla)</v>
      </c>
      <c r="H32" s="55" t="str">
        <v>5 kg</v>
      </c>
      <c r="I32" s="58">
        <v>0</v>
      </c>
      <c r="J32" s="12"/>
      <c r="K32" s="13"/>
      <c r="L32" s="14"/>
    </row>
    <row r="33" spans="1:12" ht="45.95" customHeight="1" x14ac:dyDescent="0.4">
      <c r="A33" s="54" t="str">
        <v>Kidneybohnen</v>
      </c>
      <c r="B33" s="55" t="str">
        <v>gr. Dose</v>
      </c>
      <c r="C33" s="55">
        <v>0</v>
      </c>
      <c r="D33" s="56"/>
      <c r="E33" s="56"/>
      <c r="F33" s="57"/>
      <c r="G33" s="54" t="str">
        <v>Spitzendeckchen (Rund)</v>
      </c>
      <c r="H33" s="55" t="str">
        <v>Paket</v>
      </c>
      <c r="I33" s="58">
        <v>0</v>
      </c>
      <c r="J33" s="12"/>
      <c r="K33" s="13"/>
      <c r="L33" s="14"/>
    </row>
    <row r="34" spans="1:12" ht="45.95" customHeight="1" x14ac:dyDescent="0.4">
      <c r="A34" s="54" t="str">
        <v>Kinderpunch</v>
      </c>
      <c r="B34" s="55" t="str">
        <v>Flasche</v>
      </c>
      <c r="C34" s="55">
        <v>0</v>
      </c>
      <c r="D34" s="56"/>
      <c r="E34" s="56"/>
      <c r="F34" s="57"/>
      <c r="G34" s="59" t="str">
        <v>Spülmittel</v>
      </c>
      <c r="H34" s="55" t="str">
        <v>Flasche</v>
      </c>
      <c r="I34" s="58">
        <v>0</v>
      </c>
      <c r="J34" s="12"/>
      <c r="K34" s="13"/>
      <c r="L34" s="14"/>
    </row>
    <row r="35" spans="1:12" ht="45.95" customHeight="1" x14ac:dyDescent="0.4">
      <c r="A35" s="59" t="str">
        <v>Kochwein rot</v>
      </c>
      <c r="B35" s="55" t="str">
        <v>2 l Flasche</v>
      </c>
      <c r="C35" s="55">
        <v>0</v>
      </c>
      <c r="D35" s="56"/>
      <c r="E35" s="56"/>
      <c r="F35" s="57"/>
      <c r="G35" s="59" t="str">
        <v>Stiel-Kapern</v>
      </c>
      <c r="H35" s="55" t="str">
        <v>Glas</v>
      </c>
      <c r="I35" s="58">
        <v>0</v>
      </c>
      <c r="J35" s="12"/>
      <c r="K35" s="13"/>
      <c r="L35" s="14"/>
    </row>
    <row r="36" spans="1:12" ht="45.95" customHeight="1" x14ac:dyDescent="0.4">
      <c r="A36" s="54" t="str">
        <v>Kochwein weiß</v>
      </c>
      <c r="B36" s="55" t="str">
        <v>2 l Flasche</v>
      </c>
      <c r="C36" s="55">
        <v>0</v>
      </c>
      <c r="D36" s="56"/>
      <c r="E36" s="56"/>
      <c r="F36" s="57"/>
      <c r="G36" s="59" t="str">
        <v>Tafelsenf</v>
      </c>
      <c r="H36" s="55" t="str">
        <v>Eimer</v>
      </c>
      <c r="I36" s="58">
        <v>0</v>
      </c>
      <c r="J36" s="12"/>
      <c r="K36" s="13"/>
      <c r="L36" s="14"/>
    </row>
    <row r="37" spans="1:12" ht="45.95" customHeight="1" x14ac:dyDescent="0.4">
      <c r="A37" s="54" t="str">
        <v>Kondensmilch 7,5 % Döschen</v>
      </c>
      <c r="B37" s="55" t="str">
        <v>Karton</v>
      </c>
      <c r="C37" s="55">
        <v>0</v>
      </c>
      <c r="D37" s="56"/>
      <c r="E37" s="56"/>
      <c r="F37" s="57"/>
      <c r="G37" s="54" t="str">
        <v>Thunfischdose groß (einzeln)</v>
      </c>
      <c r="H37" s="55" t="str">
        <v>Stück</v>
      </c>
      <c r="I37" s="58">
        <v>0</v>
      </c>
      <c r="J37" s="12"/>
      <c r="K37" s="13"/>
      <c r="L37" s="14"/>
    </row>
    <row r="38" spans="1:12" ht="45.95" customHeight="1" x14ac:dyDescent="0.4">
      <c r="A38" s="54" t="str">
        <v>Latex Handschuhe Gr.L ungepudert</v>
      </c>
      <c r="B38" s="55" t="str">
        <v>Paket</v>
      </c>
      <c r="C38" s="55">
        <v>0</v>
      </c>
      <c r="D38" s="56"/>
      <c r="E38" s="56"/>
      <c r="F38" s="57"/>
      <c r="G38" s="54" t="str">
        <v>Thunfischkonserven</v>
      </c>
      <c r="H38" s="55" t="str">
        <v>3/1 Dose</v>
      </c>
      <c r="I38" s="58">
        <v>0</v>
      </c>
      <c r="J38" s="12"/>
      <c r="K38" s="13"/>
      <c r="L38" s="14"/>
    </row>
    <row r="39" spans="1:12" ht="45.95" customHeight="1" x14ac:dyDescent="0.4">
      <c r="A39" s="59" t="str">
        <v>Latex Handschuhe Gr.M ungepudert</v>
      </c>
      <c r="B39" s="55" t="str">
        <v>Paket</v>
      </c>
      <c r="C39" s="55">
        <v>0</v>
      </c>
      <c r="D39" s="56"/>
      <c r="E39" s="56"/>
      <c r="F39" s="57"/>
      <c r="G39" s="54" t="str">
        <v>To go box</v>
      </c>
      <c r="H39" s="55" t="str">
        <v>Packung</v>
      </c>
      <c r="I39" s="58">
        <v>0</v>
      </c>
      <c r="J39" s="12"/>
      <c r="K39" s="13"/>
      <c r="L39" s="14"/>
    </row>
    <row r="40" spans="1:12" ht="45.95" customHeight="1" x14ac:dyDescent="0.4">
      <c r="A40" s="54" t="str">
        <v>Latex Handschuhe Gr.XL ungepudert</v>
      </c>
      <c r="B40" s="55" t="str">
        <v>Paket</v>
      </c>
      <c r="C40" s="55">
        <v>0</v>
      </c>
      <c r="D40" s="56"/>
      <c r="E40" s="56"/>
      <c r="F40" s="57"/>
      <c r="G40" s="54" t="str">
        <v>Tomatenmark kleine Dose</v>
      </c>
      <c r="H40" s="55" t="str">
        <v>Dose</v>
      </c>
      <c r="I40" s="58">
        <v>0</v>
      </c>
      <c r="J40" s="12"/>
      <c r="K40" s="13"/>
      <c r="L40" s="14"/>
    </row>
    <row r="41" spans="1:12" ht="45.95" customHeight="1" x14ac:dyDescent="0.4">
      <c r="A41" s="59" t="str">
        <v>Madeira</v>
      </c>
      <c r="B41" s="55" t="str">
        <v>Flasche</v>
      </c>
      <c r="C41" s="55">
        <v>0</v>
      </c>
      <c r="D41" s="56"/>
      <c r="E41" s="56"/>
      <c r="F41" s="57"/>
      <c r="G41" s="59" t="str">
        <v>Trüffelpaste</v>
      </c>
      <c r="H41" s="55" t="str">
        <v>Glas</v>
      </c>
      <c r="I41" s="58">
        <v>0</v>
      </c>
      <c r="J41" s="12"/>
      <c r="K41" s="13"/>
      <c r="L41" s="14"/>
    </row>
    <row r="42" spans="1:12" ht="45.95" customHeight="1" x14ac:dyDescent="0.4">
      <c r="A42" s="59" t="str">
        <v>Mais</v>
      </c>
      <c r="B42" s="55" t="str">
        <v>gr. Dose</v>
      </c>
      <c r="C42" s="55">
        <v>0</v>
      </c>
      <c r="D42" s="56"/>
      <c r="E42" s="56"/>
      <c r="F42" s="57"/>
      <c r="G42" s="59" t="str">
        <v>Vanilleschote (Wo mehrere drin sind)</v>
      </c>
      <c r="H42" s="55" t="str">
        <v>Dose</v>
      </c>
      <c r="I42" s="58">
        <v>0</v>
      </c>
      <c r="J42" s="12"/>
      <c r="K42" s="13"/>
      <c r="L42" s="14"/>
    </row>
    <row r="43" spans="1:12" ht="45.95" customHeight="1" x14ac:dyDescent="0.4">
      <c r="A43" s="59" t="str">
        <v>Mehl (405 oder 550)</v>
      </c>
      <c r="B43" s="55" t="str">
        <v>10x 1kg</v>
      </c>
      <c r="C43" s="55">
        <v>0</v>
      </c>
      <c r="D43" s="56"/>
      <c r="E43" s="56"/>
      <c r="F43" s="57"/>
      <c r="G43" s="54" t="str">
        <v>Vanillezucker</v>
      </c>
      <c r="H43" s="55" t="str">
        <v>kg</v>
      </c>
      <c r="I43" s="58">
        <v>0</v>
      </c>
      <c r="J43" s="12"/>
      <c r="K43" s="13"/>
      <c r="L43" s="14"/>
    </row>
    <row r="44" spans="1:12" ht="45.95" customHeight="1" x14ac:dyDescent="0.4">
      <c r="A44" s="54" t="str">
        <v>Muskatnuss gemahlen</v>
      </c>
      <c r="B44" s="55" t="str">
        <v>Beutel</v>
      </c>
      <c r="C44" s="55">
        <v>0</v>
      </c>
      <c r="D44" s="56"/>
      <c r="E44" s="56"/>
      <c r="F44" s="57"/>
      <c r="G44" s="54" t="str">
        <v>Weiße Bohnen (Butterbohnen)</v>
      </c>
      <c r="H44" s="55" t="str">
        <v>gr. Dose</v>
      </c>
      <c r="I44" s="58">
        <v>0</v>
      </c>
      <c r="J44" s="12"/>
      <c r="K44" s="13"/>
      <c r="L44" s="14"/>
    </row>
    <row r="45" spans="1:12" ht="45.95" customHeight="1" x14ac:dyDescent="0.4">
      <c r="A45" s="59" t="str">
        <v>Nolly Prait</v>
      </c>
      <c r="B45" s="55" t="str">
        <v>Flasche</v>
      </c>
      <c r="C45" s="55">
        <v>0</v>
      </c>
      <c r="D45" s="56"/>
      <c r="E45" s="56"/>
      <c r="F45" s="57"/>
      <c r="G45" s="59" t="str">
        <v>Zucker</v>
      </c>
      <c r="H45" s="55" t="str">
        <v>kg</v>
      </c>
      <c r="I45" s="58">
        <v>0</v>
      </c>
      <c r="J45" s="12"/>
      <c r="K45" s="13"/>
      <c r="L45" s="14"/>
    </row>
    <row r="46" spans="1:12" ht="45.95" customHeight="1" x14ac:dyDescent="0.4">
      <c r="A46" s="54" t="str">
        <v>Oliven Schwarz ohne Kern</v>
      </c>
      <c r="B46" s="55" t="str">
        <v>Dose</v>
      </c>
      <c r="C46" s="55">
        <v>0</v>
      </c>
      <c r="D46" s="56"/>
      <c r="E46" s="56"/>
      <c r="F46" s="57"/>
      <c r="G46" s="54" t="str">
        <v>Zuckersticks</v>
      </c>
      <c r="H46" s="55" t="str">
        <v>Karton</v>
      </c>
      <c r="I46" s="58">
        <v>0</v>
      </c>
      <c r="J46" s="12"/>
      <c r="K46" s="13"/>
      <c r="L46" s="14"/>
    </row>
    <row r="47" spans="1:12" ht="45.95" customHeight="1" x14ac:dyDescent="0.4">
      <c r="A47" s="59" t="str">
        <v>Olivenoel</v>
      </c>
      <c r="B47" s="55" t="str">
        <v>1 l</v>
      </c>
      <c r="C47" s="55">
        <v>10</v>
      </c>
      <c r="D47" s="56"/>
      <c r="E47" s="56"/>
      <c r="F47" s="57"/>
      <c r="G47" s="59"/>
      <c r="H47" s="55"/>
      <c r="I47" s="58"/>
      <c r="J47" s="12"/>
      <c r="K47" s="13"/>
      <c r="L47" s="14"/>
    </row>
    <row r="48" spans="1:12" ht="45.95" customHeight="1" x14ac:dyDescent="0.4">
      <c r="A48" s="54"/>
      <c r="B48" s="55"/>
      <c r="C48" s="55"/>
      <c r="D48" s="56"/>
      <c r="E48" s="56"/>
      <c r="F48" s="57"/>
      <c r="G48" s="59"/>
      <c r="H48" s="55"/>
      <c r="I48" s="58"/>
      <c r="J48" s="12"/>
      <c r="K48" s="13"/>
      <c r="L48" s="14"/>
    </row>
    <row r="49" spans="1:12" ht="45.95" customHeight="1" x14ac:dyDescent="0.4">
      <c r="A49" s="54"/>
      <c r="B49" s="55"/>
      <c r="C49" s="55"/>
      <c r="D49" s="56"/>
      <c r="E49" s="56"/>
      <c r="F49" s="57"/>
      <c r="G49" s="59"/>
      <c r="H49" s="55"/>
      <c r="I49" s="58"/>
      <c r="J49" s="12"/>
      <c r="K49" s="13"/>
      <c r="L49" s="14"/>
    </row>
    <row r="50" spans="1:12" ht="45.95" customHeight="1" thickBot="1" x14ac:dyDescent="0.45">
      <c r="A50" s="54"/>
      <c r="B50" s="55"/>
      <c r="C50" s="55"/>
      <c r="D50" s="56"/>
      <c r="E50" s="56"/>
      <c r="F50" s="57"/>
      <c r="G50" s="59"/>
      <c r="H50" s="55"/>
      <c r="I50" s="58"/>
      <c r="J50" s="12"/>
      <c r="K50" s="13"/>
      <c r="L50" s="14"/>
    </row>
    <row r="51" spans="1:12" ht="45.95" customHeight="1" thickBot="1" x14ac:dyDescent="0.45">
      <c r="A51" s="114" t="s">
        <v>167</v>
      </c>
      <c r="B51" s="115"/>
      <c r="C51" s="115"/>
      <c r="D51" s="115"/>
      <c r="E51" s="115"/>
      <c r="F51" s="115"/>
      <c r="G51" s="115"/>
      <c r="H51" s="115"/>
      <c r="I51" s="116"/>
      <c r="J51" s="12"/>
      <c r="K51" s="13"/>
      <c r="L51" s="14"/>
    </row>
    <row r="52" spans="1:12" ht="45.95" customHeight="1" x14ac:dyDescent="0.4">
      <c r="A52" s="54" t="str" cm="1">
        <f t="array" ref="A52:A77">INDEX(_xlfn.ANCHORARRAY(hpKL), _xlfn.SEQUENCE(ROUNDUP(hlpCountKL/2,0)),1)</f>
        <v>Basilikum Pesto</v>
      </c>
      <c r="B52" s="55" t="str" cm="1">
        <f t="array" ref="B52:B77">INDEX(_xlfn.ANCHORARRAY(hpKL), _xlfn.SEQUENCE(ROUNDUP(hlpCountKL/2,0)),2)</f>
        <v>Glas</v>
      </c>
      <c r="C52" s="55" cm="1">
        <f t="array" ref="C52:C77">INDEX(_xlfn.ANCHORARRAY(hpKL), _xlfn.SEQUENCE(ROUNDUP(hlpCountKL/2,0)),5)</f>
        <v>4</v>
      </c>
      <c r="D52" s="56"/>
      <c r="E52" s="56"/>
      <c r="F52" s="57"/>
      <c r="G52" s="59" t="str" cm="1">
        <f t="array" ref="G52:G77">INDEX(_xlfn.ANCHORARRAY(hpKL), _xlfn.SEQUENCE(ROUNDDOWN(hlpCountKL/2,0))+ROUNDUP(hlpCountKL/2,0),1)</f>
        <v>Mayonnaise</v>
      </c>
      <c r="H52" s="55" t="str" cm="1">
        <f t="array" ref="H52:H77">INDEX(_xlfn.ANCHORARRAY(hpKL), _xlfn.SEQUENCE(ROUNDDOWN(hlpCountKL/2,0))+ROUNDUP(hlpCountKL/2,0),2)</f>
        <v>flasche</v>
      </c>
      <c r="I52" s="58" cm="1">
        <f t="array" ref="I52:I77">INDEX(_xlfn.ANCHORARRAY(hpKL), _xlfn.SEQUENCE(ROUNDDOWN(hlpCountKL/2,0))+ROUNDUP(hlpCountKL/2,0),5)</f>
        <v>0</v>
      </c>
      <c r="J52" s="12"/>
      <c r="K52" s="13"/>
      <c r="L52" s="14"/>
    </row>
    <row r="53" spans="1:12" ht="45.95" customHeight="1" x14ac:dyDescent="0.4">
      <c r="A53" s="54" t="str">
        <v>Bebo-Pflanzencreme</v>
      </c>
      <c r="B53" s="55" t="str">
        <v>Kanister</v>
      </c>
      <c r="C53" s="55">
        <v>0</v>
      </c>
      <c r="D53" s="56"/>
      <c r="E53" s="56"/>
      <c r="F53" s="57"/>
      <c r="G53" s="59" t="str">
        <v>Möhrensalat</v>
      </c>
      <c r="H53" s="55" t="str">
        <v>2kg Eimer</v>
      </c>
      <c r="I53" s="58">
        <v>2</v>
      </c>
      <c r="J53" s="12"/>
      <c r="K53" s="13"/>
      <c r="L53" s="14"/>
    </row>
    <row r="54" spans="1:12" ht="45.95" customHeight="1" x14ac:dyDescent="0.4">
      <c r="A54" s="54" t="str">
        <v>Bratwurst 140g</v>
      </c>
      <c r="B54" s="55" t="str">
        <v>10er Paket</v>
      </c>
      <c r="C54" s="55">
        <v>8</v>
      </c>
      <c r="D54" s="56"/>
      <c r="E54" s="56"/>
      <c r="F54" s="57"/>
      <c r="G54" s="59" t="str">
        <v>Mozzarella (in Lake)</v>
      </c>
      <c r="H54" s="55" t="str">
        <v>Beutel</v>
      </c>
      <c r="I54" s="58">
        <v>0</v>
      </c>
      <c r="J54" s="12"/>
      <c r="K54" s="13"/>
      <c r="L54" s="14"/>
    </row>
    <row r="55" spans="1:12" ht="45.95" customHeight="1" x14ac:dyDescent="0.4">
      <c r="A55" s="54" t="str">
        <v>Burrata</v>
      </c>
      <c r="B55" s="55" t="str">
        <v>Stück</v>
      </c>
      <c r="C55" s="55">
        <v>10</v>
      </c>
      <c r="D55" s="56"/>
      <c r="E55" s="56"/>
      <c r="F55" s="57"/>
      <c r="G55" s="59" t="str">
        <v>Naturjoghurt</v>
      </c>
      <c r="H55" s="55" t="str">
        <v>5 kg</v>
      </c>
      <c r="I55" s="58">
        <v>0</v>
      </c>
      <c r="J55" s="12"/>
      <c r="K55" s="13"/>
      <c r="L55" s="14"/>
    </row>
    <row r="56" spans="1:12" ht="45.95" customHeight="1" x14ac:dyDescent="0.4">
      <c r="A56" s="54" t="str">
        <v xml:space="preserve">Butter </v>
      </c>
      <c r="B56" s="55" t="str">
        <v>10 kg Karton</v>
      </c>
      <c r="C56" s="55">
        <v>0</v>
      </c>
      <c r="D56" s="56"/>
      <c r="E56" s="56"/>
      <c r="F56" s="57"/>
      <c r="G56" s="59" t="str">
        <v>Nürnberger Rostbratwürstchen</v>
      </c>
      <c r="H56" s="55" t="str">
        <v>Paket</v>
      </c>
      <c r="I56" s="58">
        <v>0</v>
      </c>
      <c r="J56" s="12"/>
      <c r="K56" s="13"/>
      <c r="L56" s="14"/>
    </row>
    <row r="57" spans="1:12" ht="45.95" customHeight="1" x14ac:dyDescent="0.4">
      <c r="A57" s="54" t="str">
        <v>Cheddar Scheiben</v>
      </c>
      <c r="B57" s="55" t="str">
        <v>Paket</v>
      </c>
      <c r="C57" s="55">
        <v>1</v>
      </c>
      <c r="D57" s="56"/>
      <c r="E57" s="56"/>
      <c r="F57" s="57"/>
      <c r="G57" s="59" t="str">
        <v>Obstsalat 10 L</v>
      </c>
      <c r="H57" s="55" t="str">
        <v>Eimer</v>
      </c>
      <c r="I57" s="58">
        <v>0</v>
      </c>
      <c r="J57" s="12"/>
      <c r="K57" s="13"/>
      <c r="L57" s="14"/>
    </row>
    <row r="58" spans="1:12" ht="45.95" customHeight="1" x14ac:dyDescent="0.4">
      <c r="A58" s="54" t="str">
        <v>Creme Fraiche</v>
      </c>
      <c r="B58" s="55" t="str">
        <v>kg</v>
      </c>
      <c r="C58" s="55">
        <v>0</v>
      </c>
      <c r="D58" s="56"/>
      <c r="E58" s="56"/>
      <c r="F58" s="57"/>
      <c r="G58" s="59" t="str">
        <v>Ofenkartoffeln</v>
      </c>
      <c r="H58" s="55" t="str">
        <v>kl. Kiste</v>
      </c>
      <c r="I58" s="58">
        <v>0</v>
      </c>
      <c r="J58" s="12"/>
      <c r="K58" s="13"/>
      <c r="L58" s="14"/>
    </row>
    <row r="59" spans="1:12" ht="45.95" customHeight="1" x14ac:dyDescent="0.4">
      <c r="A59" s="54" t="str">
        <v>Debic Parfait</v>
      </c>
      <c r="B59" s="55" t="str">
        <v>Flasche</v>
      </c>
      <c r="C59" s="55">
        <v>0</v>
      </c>
      <c r="D59" s="56"/>
      <c r="E59" s="56"/>
      <c r="F59" s="57"/>
      <c r="G59" s="59" t="str">
        <v>Peperoni</v>
      </c>
      <c r="H59" s="55" t="str">
        <v>gr. Eimer</v>
      </c>
      <c r="I59" s="58">
        <v>0</v>
      </c>
      <c r="J59" s="12"/>
      <c r="K59" s="13"/>
      <c r="L59" s="14"/>
    </row>
    <row r="60" spans="1:12" ht="45.95" customHeight="1" x14ac:dyDescent="0.4">
      <c r="A60" s="54" t="str">
        <v xml:space="preserve">Farmfrites  Steakhouse Fries !!! </v>
      </c>
      <c r="B60" s="55" t="str">
        <v>Karton</v>
      </c>
      <c r="C60" s="55">
        <v>6</v>
      </c>
      <c r="D60" s="56"/>
      <c r="E60" s="56"/>
      <c r="F60" s="57"/>
      <c r="G60" s="59" t="str">
        <v>Rinderfilet</v>
      </c>
      <c r="H60" s="55" t="str">
        <v>Stück</v>
      </c>
      <c r="I60" s="58">
        <v>0</v>
      </c>
      <c r="J60" s="12"/>
      <c r="K60" s="13"/>
      <c r="L60" s="14"/>
    </row>
    <row r="61" spans="1:12" ht="45.95" customHeight="1" x14ac:dyDescent="0.4">
      <c r="A61" s="54" t="str">
        <v>Fetakäse vom Schaf</v>
      </c>
      <c r="B61" s="55" t="str">
        <v>Stück</v>
      </c>
      <c r="C61" s="55">
        <v>0</v>
      </c>
      <c r="D61" s="56"/>
      <c r="E61" s="56"/>
      <c r="F61" s="57"/>
      <c r="G61" s="59" t="str">
        <v>Rinderhüfte</v>
      </c>
      <c r="H61" s="55" t="str">
        <v>Stück</v>
      </c>
      <c r="I61" s="58">
        <v>0</v>
      </c>
      <c r="J61" s="12"/>
      <c r="K61" s="13"/>
      <c r="L61" s="14"/>
    </row>
    <row r="62" spans="1:12" ht="45.95" customHeight="1" x14ac:dyDescent="0.4">
      <c r="A62" s="54" t="str">
        <v>Fladenbrot</v>
      </c>
      <c r="B62" s="55" t="str">
        <v>Stück</v>
      </c>
      <c r="C62" s="55">
        <v>0</v>
      </c>
      <c r="D62" s="56"/>
      <c r="E62" s="56"/>
      <c r="F62" s="57"/>
      <c r="G62" s="59" t="str">
        <v>Rote Beete (gegart, vakuum…)</v>
      </c>
      <c r="H62" s="55" t="str">
        <v>Paket</v>
      </c>
      <c r="I62" s="58">
        <v>0</v>
      </c>
      <c r="J62" s="12"/>
      <c r="K62" s="13"/>
      <c r="L62" s="14"/>
    </row>
    <row r="63" spans="1:12" ht="45.95" customHeight="1" x14ac:dyDescent="0.4">
      <c r="A63" s="54" t="str">
        <v>Frische Eier Gr. M</v>
      </c>
      <c r="B63" s="55" t="str">
        <v>Stück</v>
      </c>
      <c r="C63" s="55">
        <v>30</v>
      </c>
      <c r="D63" s="56"/>
      <c r="E63" s="56"/>
      <c r="F63" s="57"/>
      <c r="G63" s="59" t="str">
        <v>Rumpsteak</v>
      </c>
      <c r="H63" s="55" t="str">
        <v>Stück</v>
      </c>
      <c r="I63" s="58">
        <v>0</v>
      </c>
      <c r="J63" s="12"/>
      <c r="K63" s="13"/>
      <c r="L63" s="14"/>
    </row>
    <row r="64" spans="1:12" ht="45.95" customHeight="1" x14ac:dyDescent="0.4">
      <c r="A64" s="54" t="str">
        <v>Frischkäse</v>
      </c>
      <c r="B64" s="55" t="str">
        <v>kg</v>
      </c>
      <c r="C64" s="55">
        <v>0</v>
      </c>
      <c r="D64" s="56"/>
      <c r="E64" s="56"/>
      <c r="F64" s="57"/>
      <c r="G64" s="59" t="str">
        <v>Sambal Oelek</v>
      </c>
      <c r="H64" s="55" t="str">
        <v>gr. Glas</v>
      </c>
      <c r="I64" s="58">
        <v>0</v>
      </c>
      <c r="J64" s="15"/>
      <c r="K64" s="15"/>
      <c r="L64" s="14"/>
    </row>
    <row r="65" spans="1:117" ht="45.95" customHeight="1" x14ac:dyDescent="0.4">
      <c r="A65" s="54" t="str">
        <v>gewürfelter Speck</v>
      </c>
      <c r="B65" s="55" t="str">
        <v>Paket</v>
      </c>
      <c r="C65" s="55">
        <v>0</v>
      </c>
      <c r="D65" s="56"/>
      <c r="E65" s="56"/>
      <c r="F65" s="57"/>
      <c r="G65" s="59" t="str">
        <v>Schmand</v>
      </c>
      <c r="H65" s="55" t="str">
        <v xml:space="preserve">1l </v>
      </c>
      <c r="I65" s="58">
        <v>4</v>
      </c>
      <c r="J65" s="15"/>
      <c r="K65" s="15"/>
      <c r="L65" s="14"/>
    </row>
    <row r="66" spans="1:117" ht="45.95" customHeight="1" x14ac:dyDescent="0.4">
      <c r="A66" s="54" t="str">
        <v>Gnocchi</v>
      </c>
      <c r="B66" s="55" t="str">
        <v>Paket</v>
      </c>
      <c r="C66" s="55">
        <v>0</v>
      </c>
      <c r="D66" s="56"/>
      <c r="E66" s="56"/>
      <c r="F66" s="57"/>
      <c r="G66" s="59" t="str">
        <v>Schweinefilet</v>
      </c>
      <c r="H66" s="55" t="str">
        <v>kg</v>
      </c>
      <c r="I66" s="58">
        <v>0</v>
      </c>
      <c r="J66" s="15"/>
      <c r="K66" s="15"/>
      <c r="L66" s="14"/>
    </row>
    <row r="67" spans="1:117" ht="45.95" customHeight="1" x14ac:dyDescent="0.4">
      <c r="A67" s="54" t="str">
        <v>Gouda gerieben</v>
      </c>
      <c r="B67" s="55" t="str">
        <v>Beutel</v>
      </c>
      <c r="C67" s="55">
        <v>0</v>
      </c>
      <c r="D67" s="56"/>
      <c r="E67" s="56"/>
      <c r="F67" s="57"/>
      <c r="G67" s="59" t="str">
        <v>Schweinekrustenbraten (die kleinen!)</v>
      </c>
      <c r="H67" s="55" t="str">
        <v>Stück</v>
      </c>
      <c r="I67" s="58">
        <v>0</v>
      </c>
      <c r="J67" s="15"/>
      <c r="K67" s="15"/>
      <c r="L67" s="14"/>
    </row>
    <row r="68" spans="1:117" ht="45.95" customHeight="1" x14ac:dyDescent="0.4">
      <c r="A68" s="54" t="str">
        <v>griechischer Joghurt</v>
      </c>
      <c r="B68" s="55" t="str">
        <v>5kg!!!</v>
      </c>
      <c r="C68" s="55">
        <v>0</v>
      </c>
      <c r="D68" s="56"/>
      <c r="E68" s="56"/>
      <c r="F68" s="57"/>
      <c r="G68" s="59" t="str">
        <v>Schweinenacken</v>
      </c>
      <c r="H68" s="55" t="str">
        <v>kg</v>
      </c>
      <c r="I68" s="58">
        <v>0</v>
      </c>
      <c r="J68" s="15"/>
      <c r="K68" s="15"/>
      <c r="L68" s="14"/>
    </row>
    <row r="69" spans="1:117" ht="45.95" customHeight="1" x14ac:dyDescent="0.4">
      <c r="A69" s="54" t="str">
        <v>Hähnchenbrust</v>
      </c>
      <c r="B69" s="55" t="str">
        <v>kg</v>
      </c>
      <c r="C69" s="55">
        <v>0</v>
      </c>
      <c r="D69" s="56"/>
      <c r="E69" s="56"/>
      <c r="F69" s="57"/>
      <c r="G69" s="59" t="str">
        <v>Schweinerücken</v>
      </c>
      <c r="H69" s="55" t="str">
        <v>kg</v>
      </c>
      <c r="I69" s="58">
        <v>0</v>
      </c>
      <c r="J69" s="15"/>
      <c r="K69" s="15"/>
      <c r="L69" s="14"/>
    </row>
    <row r="70" spans="1:117" ht="45.95" customHeight="1" x14ac:dyDescent="0.4">
      <c r="A70" s="54" t="str">
        <v xml:space="preserve">Joghurt </v>
      </c>
      <c r="B70" s="55" t="str">
        <v xml:space="preserve">5 kg </v>
      </c>
      <c r="C70" s="55">
        <v>0</v>
      </c>
      <c r="D70" s="56"/>
      <c r="E70" s="56"/>
      <c r="F70" s="57"/>
      <c r="G70" s="59" t="str">
        <v>Serano Schinken</v>
      </c>
      <c r="H70" s="55" t="str">
        <v>Paket</v>
      </c>
      <c r="I70" s="58">
        <v>0</v>
      </c>
      <c r="J70" s="15"/>
      <c r="K70" s="15"/>
      <c r="L70" s="14"/>
    </row>
    <row r="71" spans="1:117" ht="45.95" customHeight="1" x14ac:dyDescent="0.4">
      <c r="A71" s="54" t="str">
        <v>Kalbsrücken</v>
      </c>
      <c r="B71" s="55" t="str">
        <v>kg</v>
      </c>
      <c r="C71" s="55">
        <v>0</v>
      </c>
      <c r="D71" s="56"/>
      <c r="E71" s="56"/>
      <c r="F71" s="57"/>
      <c r="G71" s="59" t="str">
        <v>Sonnenblumenkerne</v>
      </c>
      <c r="H71" s="55" t="str">
        <v>kg</v>
      </c>
      <c r="I71" s="58">
        <v>0</v>
      </c>
      <c r="J71" s="15"/>
      <c r="K71" s="15"/>
    </row>
    <row r="72" spans="1:117" ht="45.95" customHeight="1" x14ac:dyDescent="0.4">
      <c r="A72" s="54" t="str">
        <v>Kartoffelgratin</v>
      </c>
      <c r="B72" s="55" t="str">
        <v>gr. Paket</v>
      </c>
      <c r="C72" s="55">
        <v>0</v>
      </c>
      <c r="D72" s="56"/>
      <c r="E72" s="56"/>
      <c r="F72" s="57"/>
      <c r="G72" s="59" t="str">
        <v>Spätzle (frisch)</v>
      </c>
      <c r="H72" s="55" t="str">
        <v>Beutel</v>
      </c>
      <c r="I72" s="58">
        <v>3</v>
      </c>
      <c r="J72" s="15"/>
      <c r="K72" s="15"/>
    </row>
    <row r="73" spans="1:117" ht="45.95" customHeight="1" x14ac:dyDescent="0.4">
      <c r="A73" s="54" t="str">
        <v>Kartoffelsalat (Essig-Öl)</v>
      </c>
      <c r="B73" s="55" t="str">
        <v>Eimer</v>
      </c>
      <c r="C73" s="55">
        <v>0</v>
      </c>
      <c r="D73" s="56"/>
      <c r="E73" s="56"/>
      <c r="F73" s="57"/>
      <c r="G73" s="59" t="str">
        <v>Sprühsahne Debic</v>
      </c>
      <c r="H73" s="55" t="str">
        <v>Flasche</v>
      </c>
      <c r="I73" s="58">
        <v>0</v>
      </c>
      <c r="J73" s="15"/>
      <c r="K73" s="15"/>
    </row>
    <row r="74" spans="1:117" ht="45.95" customHeight="1" x14ac:dyDescent="0.4">
      <c r="A74" s="54" t="str">
        <v>Kartoffelsalat (Mayo)</v>
      </c>
      <c r="B74" s="55" t="str">
        <v>Eimer</v>
      </c>
      <c r="C74" s="55">
        <v>0</v>
      </c>
      <c r="D74" s="56"/>
      <c r="E74" s="56"/>
      <c r="F74" s="57"/>
      <c r="G74" s="59" t="str">
        <v>Tagliatelle (Ristorante, Rana)</v>
      </c>
      <c r="H74" s="55" t="str">
        <v>Beutel</v>
      </c>
      <c r="I74" s="58">
        <v>0</v>
      </c>
      <c r="J74" s="15"/>
      <c r="K74" s="15"/>
    </row>
    <row r="75" spans="1:117" ht="45.95" customHeight="1" x14ac:dyDescent="0.4">
      <c r="A75" s="54" t="str">
        <v>Krakauer Bratwurst</v>
      </c>
      <c r="B75" s="55" t="str">
        <v>Stück</v>
      </c>
      <c r="C75" s="55">
        <v>0</v>
      </c>
      <c r="D75" s="56"/>
      <c r="E75" s="56"/>
      <c r="F75" s="57"/>
      <c r="G75" s="59" t="str">
        <v>Tetra Vollei</v>
      </c>
      <c r="H75" s="55" t="str">
        <v>1 Liter</v>
      </c>
      <c r="I75" s="58">
        <v>0</v>
      </c>
      <c r="J75" s="15"/>
      <c r="K75" s="15"/>
    </row>
    <row r="76" spans="1:117" ht="45.95" customHeight="1" x14ac:dyDescent="0.4">
      <c r="A76" s="54" t="str">
        <v>Krautsalat</v>
      </c>
      <c r="B76" s="55" t="str">
        <v>Eimer</v>
      </c>
      <c r="C76" s="55">
        <v>0</v>
      </c>
      <c r="D76" s="56"/>
      <c r="E76" s="56"/>
      <c r="F76" s="57"/>
      <c r="G76" s="59" t="str">
        <v>Vanillesauce 1L</v>
      </c>
      <c r="H76" s="55" t="str">
        <v>Tetra</v>
      </c>
      <c r="I76" s="58">
        <v>0</v>
      </c>
      <c r="J76" s="15"/>
      <c r="K76" s="15"/>
    </row>
    <row r="77" spans="1:117" ht="45.95" customHeight="1" x14ac:dyDescent="0.4">
      <c r="A77" s="54" t="str">
        <v>Limburger Senf (körniger Senf)</v>
      </c>
      <c r="B77" s="55" t="str">
        <v>Eimer</v>
      </c>
      <c r="C77" s="55">
        <v>0</v>
      </c>
      <c r="D77" s="56"/>
      <c r="E77" s="56"/>
      <c r="F77" s="57"/>
      <c r="G77" s="59" t="str">
        <v>Ziegenkäse mit Schimmelrand</v>
      </c>
      <c r="H77" s="55" t="str">
        <v>1 kg Stange</v>
      </c>
      <c r="I77" s="58">
        <v>0</v>
      </c>
      <c r="J77" s="15"/>
      <c r="K77" s="15"/>
    </row>
    <row r="78" spans="1:117" ht="45.95" customHeight="1" x14ac:dyDescent="0.4">
      <c r="A78" s="54"/>
      <c r="B78" s="55"/>
      <c r="C78" s="55"/>
      <c r="D78" s="56"/>
      <c r="E78" s="56"/>
      <c r="F78" s="57"/>
      <c r="G78" s="59"/>
      <c r="H78" s="55"/>
      <c r="I78" s="58"/>
      <c r="J78" s="15"/>
      <c r="K78" s="15"/>
    </row>
    <row r="79" spans="1:117" s="6" customFormat="1" ht="45.95" customHeight="1" x14ac:dyDescent="0.4">
      <c r="A79" s="54"/>
      <c r="B79" s="55"/>
      <c r="C79" s="55"/>
      <c r="D79" s="56"/>
      <c r="E79" s="56"/>
      <c r="F79" s="57"/>
      <c r="G79" s="59"/>
      <c r="H79" s="55"/>
      <c r="I79" s="58"/>
      <c r="J79" s="16"/>
      <c r="K79" s="16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</row>
    <row r="80" spans="1:117" ht="45.95" customHeight="1" x14ac:dyDescent="0.4">
      <c r="A80" s="54"/>
      <c r="B80" s="55"/>
      <c r="C80" s="55"/>
      <c r="D80" s="56"/>
      <c r="E80" s="56"/>
      <c r="F80" s="57"/>
      <c r="G80" s="59"/>
      <c r="H80" s="55"/>
      <c r="I80" s="58"/>
      <c r="J80" s="15"/>
      <c r="K80" s="15"/>
    </row>
    <row r="81" spans="1:12" ht="45.95" customHeight="1" x14ac:dyDescent="0.4">
      <c r="A81" s="54"/>
      <c r="B81" s="55"/>
      <c r="C81" s="55"/>
      <c r="D81" s="56"/>
      <c r="E81" s="56"/>
      <c r="F81" s="57"/>
      <c r="G81" s="59"/>
      <c r="H81" s="55"/>
      <c r="I81" s="58"/>
      <c r="J81" s="15"/>
      <c r="K81" s="15"/>
    </row>
    <row r="82" spans="1:12" ht="45.95" customHeight="1" x14ac:dyDescent="0.4">
      <c r="A82" s="54"/>
      <c r="B82" s="55"/>
      <c r="C82" s="55"/>
      <c r="D82" s="56"/>
      <c r="E82" s="56"/>
      <c r="F82" s="57"/>
      <c r="G82" s="59"/>
      <c r="H82" s="55"/>
      <c r="I82" s="58"/>
      <c r="J82" s="15"/>
      <c r="K82" s="15"/>
      <c r="L82" s="15"/>
    </row>
    <row r="83" spans="1:12" ht="45.95" customHeight="1" x14ac:dyDescent="0.4">
      <c r="A83" s="54"/>
      <c r="B83" s="55"/>
      <c r="C83" s="55"/>
      <c r="D83" s="56"/>
      <c r="E83" s="56"/>
      <c r="F83" s="57"/>
      <c r="G83" s="59"/>
      <c r="H83" s="55"/>
      <c r="I83" s="58"/>
      <c r="J83" s="15"/>
      <c r="K83" s="15"/>
      <c r="L83" s="15"/>
    </row>
    <row r="84" spans="1:12" ht="45.95" customHeight="1" x14ac:dyDescent="0.4">
      <c r="A84" s="59"/>
      <c r="B84" s="55"/>
      <c r="C84" s="55"/>
      <c r="D84" s="56"/>
      <c r="E84" s="56"/>
      <c r="F84" s="57"/>
      <c r="G84" s="59"/>
      <c r="H84" s="55"/>
      <c r="I84" s="58"/>
      <c r="J84" s="15"/>
      <c r="K84" s="15"/>
      <c r="L84" s="15"/>
    </row>
    <row r="85" spans="1:12" ht="45.95" customHeight="1" x14ac:dyDescent="0.4">
      <c r="A85" s="59"/>
      <c r="B85" s="55"/>
      <c r="C85" s="55"/>
      <c r="D85" s="56"/>
      <c r="E85" s="56"/>
      <c r="F85" s="57"/>
      <c r="G85" s="59"/>
      <c r="H85" s="55"/>
      <c r="I85" s="58"/>
      <c r="J85" s="15"/>
      <c r="K85" s="15"/>
      <c r="L85" s="15"/>
    </row>
    <row r="86" spans="1:12" ht="45.95" customHeight="1" thickBot="1" x14ac:dyDescent="0.45">
      <c r="A86" s="70"/>
      <c r="B86" s="67"/>
      <c r="C86" s="67"/>
      <c r="D86" s="68"/>
      <c r="E86" s="68"/>
      <c r="F86" s="69"/>
      <c r="G86" s="70"/>
      <c r="H86" s="67"/>
      <c r="I86" s="71"/>
      <c r="J86" s="15"/>
      <c r="K86" s="15"/>
      <c r="L86" s="15"/>
    </row>
    <row r="87" spans="1:12" ht="45.95" customHeight="1" thickBot="1" x14ac:dyDescent="0.45">
      <c r="A87" s="114" t="s">
        <v>68</v>
      </c>
      <c r="B87" s="115"/>
      <c r="C87" s="115"/>
      <c r="D87" s="115"/>
      <c r="E87" s="115"/>
      <c r="F87" s="115"/>
      <c r="G87" s="115"/>
      <c r="H87" s="115"/>
      <c r="I87" s="116"/>
      <c r="J87" s="15"/>
      <c r="K87" s="15"/>
      <c r="L87" s="15"/>
    </row>
    <row r="88" spans="1:12" ht="45.95" customHeight="1" x14ac:dyDescent="0.4">
      <c r="A88" s="60" t="str" cm="1">
        <f t="array" ref="A88:A95">INDEX(_xlfn.ANCHORARRAY(hlpTK), _xlfn.SEQUENCE(ROUNDUP(hlpCountTK/2,0)),1)</f>
        <v xml:space="preserve">Baker &amp; Baker - Blaubeermuffins </v>
      </c>
      <c r="B88" s="61" t="str" cm="1">
        <f t="array" ref="B88:B95">INDEX(_xlfn.ANCHORARRAY(hlpTK), _xlfn.SEQUENCE(ROUNDUP(hlpCountTK/2,0)),2)</f>
        <v>Karton</v>
      </c>
      <c r="C88" s="61" cm="1">
        <f t="array" ref="C88:C95">INDEX(_xlfn.ANCHORARRAY(hlpTK), _xlfn.SEQUENCE(ROUNDUP(hlpCountTK/2,0)),5)</f>
        <v>1</v>
      </c>
      <c r="D88" s="62"/>
      <c r="E88" s="62"/>
      <c r="F88" s="63"/>
      <c r="G88" s="64" t="str" cm="1">
        <f t="array" ref="G88:G94">INDEX(_xlfn.ANCHORARRAY(hlpTK), _xlfn.SEQUENCE(ROUNDDOWN(hlpCountTK/2,0))+ROUNDUP(hlpCountTK/2,0),1)</f>
        <v>Fischstäbchen (5kg)</v>
      </c>
      <c r="H88" s="61" t="str" cm="1">
        <f t="array" ref="H88:H94">INDEX(_xlfn.ANCHORARRAY(hlpTK), _xlfn.SEQUENCE(ROUNDDOWN(hlpCountTK/2,0))+ROUNDUP(hlpCountTK/2,0),2)</f>
        <v>Beutel</v>
      </c>
      <c r="I88" s="65" cm="1">
        <f t="array" ref="I88:I94">INDEX(_xlfn.ANCHORARRAY(hlpTK), _xlfn.SEQUENCE(ROUNDDOWN(hlpCountTK/2,0))+ROUNDUP(hlpCountTK/2,0),5)</f>
        <v>0</v>
      </c>
      <c r="J88" s="15"/>
      <c r="K88" s="15"/>
      <c r="L88" s="15"/>
    </row>
    <row r="89" spans="1:12" ht="45.95" customHeight="1" x14ac:dyDescent="0.4">
      <c r="A89" s="54" t="str">
        <v>Baker &amp; Baker - Schokomuffins</v>
      </c>
      <c r="B89" s="55" t="str">
        <v>Karton</v>
      </c>
      <c r="C89" s="55">
        <v>1</v>
      </c>
      <c r="D89" s="56"/>
      <c r="E89" s="56"/>
      <c r="F89" s="57"/>
      <c r="G89" s="59" t="str">
        <v>Garnelen (gepult) 8/12"er</v>
      </c>
      <c r="H89" s="55" t="str">
        <v>Beutel</v>
      </c>
      <c r="I89" s="58">
        <v>0</v>
      </c>
      <c r="J89" s="15"/>
      <c r="K89" s="15"/>
      <c r="L89" s="15"/>
    </row>
    <row r="90" spans="1:12" ht="45.95" customHeight="1" x14ac:dyDescent="0.4">
      <c r="A90" s="54" t="str">
        <v>Chicken Nuggets</v>
      </c>
      <c r="B90" s="55" t="str">
        <v>Beutel</v>
      </c>
      <c r="C90" s="55">
        <v>0</v>
      </c>
      <c r="D90" s="56"/>
      <c r="E90" s="56"/>
      <c r="F90" s="57"/>
      <c r="G90" s="59" t="str">
        <v>grüne Bohnen</v>
      </c>
      <c r="H90" s="55" t="str">
        <v>Beutel</v>
      </c>
      <c r="I90" s="58">
        <v>0</v>
      </c>
      <c r="J90" s="15"/>
      <c r="K90" s="15"/>
      <c r="L90" s="15"/>
    </row>
    <row r="91" spans="1:12" ht="45.95" customHeight="1" x14ac:dyDescent="0.4">
      <c r="A91" s="54" t="str">
        <v>Ciabatta Brote</v>
      </c>
      <c r="B91" s="55" t="str">
        <v>Karton</v>
      </c>
      <c r="C91" s="55">
        <v>1</v>
      </c>
      <c r="D91" s="56"/>
      <c r="E91" s="56"/>
      <c r="F91" s="57"/>
      <c r="G91" s="59" t="str">
        <v>Knusperschnitzel Schwein (230g)</v>
      </c>
      <c r="H91" s="55" t="str">
        <v>Karton</v>
      </c>
      <c r="I91" s="58">
        <v>0</v>
      </c>
      <c r="J91" s="15"/>
      <c r="K91" s="15"/>
      <c r="L91" s="15"/>
    </row>
    <row r="92" spans="1:12" ht="45.95" customHeight="1" x14ac:dyDescent="0.4">
      <c r="A92" s="54" t="str">
        <v>Dorade-Filets</v>
      </c>
      <c r="B92" s="55" t="str">
        <v>Karton</v>
      </c>
      <c r="C92" s="55">
        <v>0</v>
      </c>
      <c r="D92" s="56"/>
      <c r="E92" s="56"/>
      <c r="F92" s="57"/>
      <c r="G92" s="59" t="str">
        <v>Lachsfilet (150g)</v>
      </c>
      <c r="H92" s="55" t="str">
        <v>Karton</v>
      </c>
      <c r="I92" s="58">
        <v>0</v>
      </c>
      <c r="J92" s="15"/>
      <c r="K92" s="15"/>
      <c r="L92" s="15"/>
    </row>
    <row r="93" spans="1:12" ht="45.95" customHeight="1" x14ac:dyDescent="0.4">
      <c r="A93" s="54" t="str">
        <v>Dunkle Beeren</v>
      </c>
      <c r="B93" s="55" t="str">
        <v>2,5kg</v>
      </c>
      <c r="C93" s="55">
        <v>0</v>
      </c>
      <c r="D93" s="56"/>
      <c r="E93" s="56"/>
      <c r="F93" s="57"/>
      <c r="G93" s="59" t="str">
        <v>Räucherlachs (TK)</v>
      </c>
      <c r="H93" s="55" t="str">
        <v>Seite</v>
      </c>
      <c r="I93" s="58">
        <v>0</v>
      </c>
      <c r="J93" s="15"/>
      <c r="K93" s="15"/>
      <c r="L93" s="15"/>
    </row>
    <row r="94" spans="1:12" ht="45.95" customHeight="1" x14ac:dyDescent="0.4">
      <c r="A94" s="54" t="str">
        <v>Edna Baguette</v>
      </c>
      <c r="B94" s="55" t="str">
        <v>Karton</v>
      </c>
      <c r="C94" s="55">
        <v>4</v>
      </c>
      <c r="D94" s="56"/>
      <c r="E94" s="56"/>
      <c r="F94" s="57"/>
      <c r="G94" s="59" t="str">
        <v>Steinpilze</v>
      </c>
      <c r="H94" s="55" t="str">
        <v>Beutel</v>
      </c>
      <c r="I94" s="58">
        <v>0</v>
      </c>
      <c r="J94" s="15"/>
      <c r="K94" s="15"/>
      <c r="L94" s="15"/>
    </row>
    <row r="95" spans="1:12" ht="45.95" customHeight="1" x14ac:dyDescent="0.2">
      <c r="A95" s="54" t="str">
        <v>Erbsen</v>
      </c>
      <c r="B95" s="55" t="str">
        <v>Beutel</v>
      </c>
      <c r="C95" s="55">
        <v>0</v>
      </c>
      <c r="D95" s="56"/>
      <c r="E95" s="56"/>
      <c r="F95" s="57"/>
      <c r="G95" s="59"/>
      <c r="H95" s="55"/>
      <c r="I95" s="58"/>
    </row>
    <row r="96" spans="1:12" ht="45.95" customHeight="1" x14ac:dyDescent="0.2">
      <c r="A96" s="59"/>
      <c r="B96" s="55"/>
      <c r="C96" s="55"/>
      <c r="D96" s="56"/>
      <c r="E96" s="56"/>
      <c r="F96" s="57"/>
      <c r="G96" s="59"/>
      <c r="H96" s="55"/>
      <c r="I96" s="58"/>
    </row>
    <row r="97" spans="1:9" ht="45.95" customHeight="1" thickBot="1" x14ac:dyDescent="0.25">
      <c r="A97" s="66"/>
      <c r="B97" s="67"/>
      <c r="C97" s="67"/>
      <c r="D97" s="68"/>
      <c r="E97" s="68"/>
      <c r="F97" s="69"/>
      <c r="G97" s="70"/>
      <c r="H97" s="67"/>
      <c r="I97" s="71"/>
    </row>
    <row r="111" spans="1:9" ht="15.75" x14ac:dyDescent="0.25">
      <c r="G111" s="2"/>
      <c r="H111" s="4"/>
    </row>
    <row r="112" spans="1:9" ht="15.75" x14ac:dyDescent="0.25">
      <c r="G112" s="2"/>
      <c r="H112" s="3"/>
    </row>
    <row r="113" spans="7:8" ht="15.75" x14ac:dyDescent="0.25">
      <c r="G113" s="2"/>
      <c r="H113" s="3"/>
    </row>
    <row r="114" spans="7:8" ht="15.75" x14ac:dyDescent="0.25">
      <c r="G114" s="2"/>
      <c r="H114" s="3"/>
    </row>
    <row r="115" spans="7:8" ht="15.75" x14ac:dyDescent="0.25">
      <c r="G115" s="2"/>
      <c r="H115" s="3"/>
    </row>
    <row r="116" spans="7:8" ht="15.75" x14ac:dyDescent="0.25">
      <c r="G116" s="2"/>
      <c r="H116" s="3"/>
    </row>
    <row r="117" spans="7:8" ht="15.75" x14ac:dyDescent="0.25">
      <c r="G117" s="2"/>
      <c r="H117" s="3"/>
    </row>
    <row r="118" spans="7:8" ht="15.75" x14ac:dyDescent="0.25">
      <c r="G118" s="2"/>
      <c r="H118" s="3"/>
    </row>
    <row r="119" spans="7:8" ht="15.75" x14ac:dyDescent="0.25">
      <c r="G119" s="2"/>
      <c r="H119" s="3"/>
    </row>
    <row r="120" spans="7:8" ht="15.75" x14ac:dyDescent="0.25">
      <c r="G120" s="2"/>
      <c r="H120" s="3"/>
    </row>
    <row r="121" spans="7:8" ht="15.75" x14ac:dyDescent="0.25">
      <c r="G121" s="2"/>
      <c r="H121" s="3"/>
    </row>
    <row r="122" spans="7:8" ht="15.75" x14ac:dyDescent="0.25">
      <c r="G122" s="2"/>
      <c r="H122" s="2"/>
    </row>
    <row r="123" spans="7:8" ht="15.75" x14ac:dyDescent="0.25">
      <c r="H123" s="2"/>
    </row>
  </sheetData>
  <mergeCells count="7">
    <mergeCell ref="A87:I87"/>
    <mergeCell ref="A7:I7"/>
    <mergeCell ref="A2:C2"/>
    <mergeCell ref="H2:I2"/>
    <mergeCell ref="A1:I1"/>
    <mergeCell ref="A9:I9"/>
    <mergeCell ref="A51:I51"/>
  </mergeCells>
  <phoneticPr fontId="0" type="noConversion"/>
  <conditionalFormatting sqref="C10:C50">
    <cfRule type="cellIs" dxfId="16" priority="6" operator="equal">
      <formula>0</formula>
    </cfRule>
  </conditionalFormatting>
  <conditionalFormatting sqref="I10:I50">
    <cfRule type="cellIs" dxfId="15" priority="5" operator="equal">
      <formula>0</formula>
    </cfRule>
  </conditionalFormatting>
  <conditionalFormatting sqref="C52:C86">
    <cfRule type="cellIs" dxfId="14" priority="4" operator="equal">
      <formula>0</formula>
    </cfRule>
  </conditionalFormatting>
  <conditionalFormatting sqref="I52:I86">
    <cfRule type="cellIs" dxfId="13" priority="3" operator="equal">
      <formula>0</formula>
    </cfRule>
  </conditionalFormatting>
  <conditionalFormatting sqref="C88:C97">
    <cfRule type="cellIs" dxfId="12" priority="2" operator="equal">
      <formula>0</formula>
    </cfRule>
  </conditionalFormatting>
  <conditionalFormatting sqref="I88:I97">
    <cfRule type="cellIs" dxfId="11" priority="1" operator="equal">
      <formula>0</formula>
    </cfRule>
  </conditionalFormatting>
  <pageMargins left="0.78740157480314965" right="0.78740157480314965" top="0.98425196850393704" bottom="0.98425196850393704" header="0.51181102362204722" footer="0.51181102362204722"/>
  <pageSetup paperSize="9" scale="32" fitToHeight="0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CB803-0614-41B0-B027-624D1A9B3223}">
  <sheetPr codeName="Tabelle3">
    <tabColor rgb="FF00B050"/>
    <pageSetUpPr fitToPage="1"/>
  </sheetPr>
  <dimension ref="A1:H156"/>
  <sheetViews>
    <sheetView workbookViewId="0">
      <selection activeCell="L13" sqref="L13"/>
    </sheetView>
  </sheetViews>
  <sheetFormatPr baseColWidth="10" defaultRowHeight="18.75" x14ac:dyDescent="0.3"/>
  <cols>
    <col min="1" max="1" width="31.140625" style="89" bestFit="1" customWidth="1"/>
    <col min="2" max="2" width="14" style="89" bestFit="1" customWidth="1"/>
    <col min="3" max="3" width="5.5703125" style="89" bestFit="1" customWidth="1"/>
    <col min="4" max="4" width="6" style="89" bestFit="1" customWidth="1"/>
    <col min="5" max="5" width="8.85546875" style="89" hidden="1" customWidth="1"/>
    <col min="6" max="6" width="4.42578125" style="89" hidden="1" customWidth="1"/>
    <col min="7" max="7" width="8.42578125" style="89" hidden="1" customWidth="1"/>
    <col min="8" max="16384" width="11.42578125" style="88"/>
  </cols>
  <sheetData>
    <row r="1" spans="1:8" ht="26.25" x14ac:dyDescent="0.4">
      <c r="A1" s="106" t="s">
        <v>221</v>
      </c>
      <c r="B1" s="105"/>
      <c r="C1" s="105"/>
      <c r="D1" s="105"/>
      <c r="E1" s="105"/>
      <c r="F1" s="105"/>
      <c r="G1" s="105"/>
      <c r="H1" s="104"/>
    </row>
    <row r="2" spans="1:8" ht="19.5" thickBot="1" x14ac:dyDescent="0.35">
      <c r="A2" s="103"/>
      <c r="B2" s="102"/>
      <c r="C2" s="102"/>
      <c r="D2" s="102"/>
      <c r="E2" s="102"/>
      <c r="F2" s="102"/>
      <c r="G2" s="102"/>
      <c r="H2" s="101"/>
    </row>
    <row r="3" spans="1:8" x14ac:dyDescent="0.3">
      <c r="A3" s="100" t="s">
        <v>1</v>
      </c>
      <c r="B3" s="99" t="s">
        <v>200</v>
      </c>
      <c r="C3" s="99" t="s">
        <v>219</v>
      </c>
      <c r="D3" s="99" t="s">
        <v>220</v>
      </c>
      <c r="E3" s="99"/>
      <c r="F3" s="99"/>
      <c r="G3" s="99"/>
      <c r="H3" s="107" t="s">
        <v>3</v>
      </c>
    </row>
    <row r="4" spans="1:8" x14ac:dyDescent="0.3">
      <c r="A4" s="98" t="str" cm="1">
        <f t="array" ref="A4:G145">_xlfn._xlws.SORT(_xlfn._xlws.FILTER(tblArtikel[],((tblArtikel[Aktiv]))))</f>
        <v>Apfelmus</v>
      </c>
      <c r="B4" s="97" t="str">
        <v>gr. Dose</v>
      </c>
      <c r="C4" s="97">
        <v>0</v>
      </c>
      <c r="D4" s="97">
        <v>0</v>
      </c>
      <c r="E4" s="97">
        <v>0</v>
      </c>
      <c r="F4" s="97" t="str">
        <v>TL</v>
      </c>
      <c r="G4" s="97" t="b">
        <v>1</v>
      </c>
      <c r="H4" s="96"/>
    </row>
    <row r="5" spans="1:8" x14ac:dyDescent="0.3">
      <c r="A5" s="95" t="str">
        <v>Backpapier</v>
      </c>
      <c r="B5" s="94" t="str">
        <v>Rolle</v>
      </c>
      <c r="C5" s="94">
        <v>1</v>
      </c>
      <c r="D5" s="94">
        <v>2</v>
      </c>
      <c r="E5" s="94">
        <v>0</v>
      </c>
      <c r="F5" s="94" t="str">
        <v>TL</v>
      </c>
      <c r="G5" s="94" t="b">
        <v>1</v>
      </c>
      <c r="H5" s="93"/>
    </row>
    <row r="6" spans="1:8" x14ac:dyDescent="0.3">
      <c r="A6" s="95" t="str">
        <v>Backpulver</v>
      </c>
      <c r="B6" s="94" t="str">
        <v>Paket</v>
      </c>
      <c r="C6" s="94">
        <v>0</v>
      </c>
      <c r="D6" s="94">
        <v>0</v>
      </c>
      <c r="E6" s="94">
        <v>0</v>
      </c>
      <c r="F6" s="94" t="str">
        <v>TL</v>
      </c>
      <c r="G6" s="94" t="b">
        <v>1</v>
      </c>
      <c r="H6" s="93"/>
    </row>
    <row r="7" spans="1:8" x14ac:dyDescent="0.3">
      <c r="A7" s="95" t="str">
        <v xml:space="preserve">Baker &amp; Baker - Blaubeermuffins </v>
      </c>
      <c r="B7" s="94" t="str">
        <v>Karton</v>
      </c>
      <c r="C7" s="94">
        <v>0</v>
      </c>
      <c r="D7" s="94">
        <v>0</v>
      </c>
      <c r="E7" s="94">
        <v>1</v>
      </c>
      <c r="F7" s="94" t="str">
        <v>TK</v>
      </c>
      <c r="G7" s="94" t="b">
        <v>1</v>
      </c>
      <c r="H7" s="93"/>
    </row>
    <row r="8" spans="1:8" x14ac:dyDescent="0.3">
      <c r="A8" s="95" t="str">
        <v>Baker &amp; Baker - Schokomuffins</v>
      </c>
      <c r="B8" s="94" t="str">
        <v>Karton</v>
      </c>
      <c r="C8" s="94">
        <v>0</v>
      </c>
      <c r="D8" s="94">
        <v>0</v>
      </c>
      <c r="E8" s="94">
        <v>1</v>
      </c>
      <c r="F8" s="94" t="str">
        <v>TK</v>
      </c>
      <c r="G8" s="94" t="b">
        <v>1</v>
      </c>
      <c r="H8" s="93"/>
    </row>
    <row r="9" spans="1:8" x14ac:dyDescent="0.3">
      <c r="A9" s="95" t="str">
        <v>Balsamicoessig Dunkel</v>
      </c>
      <c r="B9" s="94" t="str">
        <v>Flasche</v>
      </c>
      <c r="C9" s="94">
        <v>0</v>
      </c>
      <c r="D9" s="94">
        <v>0</v>
      </c>
      <c r="E9" s="94">
        <v>0</v>
      </c>
      <c r="F9" s="94" t="str">
        <v>TL</v>
      </c>
      <c r="G9" s="94" t="b">
        <v>1</v>
      </c>
      <c r="H9" s="93"/>
    </row>
    <row r="10" spans="1:8" x14ac:dyDescent="0.3">
      <c r="A10" s="95" t="str">
        <v>Balsamicoessig Hell</v>
      </c>
      <c r="B10" s="94" t="str">
        <v>Flasche</v>
      </c>
      <c r="C10" s="94">
        <v>0</v>
      </c>
      <c r="D10" s="94">
        <v>0</v>
      </c>
      <c r="E10" s="94">
        <v>6</v>
      </c>
      <c r="F10" s="94" t="str">
        <v>TL</v>
      </c>
      <c r="G10" s="94" t="b">
        <v>1</v>
      </c>
      <c r="H10" s="93"/>
    </row>
    <row r="11" spans="1:8" x14ac:dyDescent="0.3">
      <c r="A11" s="95" t="str">
        <v>Basilikum Pesto</v>
      </c>
      <c r="B11" s="94" t="str">
        <v>Glas</v>
      </c>
      <c r="C11" s="94">
        <v>0</v>
      </c>
      <c r="D11" s="94">
        <v>0</v>
      </c>
      <c r="E11" s="94">
        <v>4</v>
      </c>
      <c r="F11" s="94" t="str">
        <v>KL</v>
      </c>
      <c r="G11" s="94" t="b">
        <v>1</v>
      </c>
      <c r="H11" s="93"/>
    </row>
    <row r="12" spans="1:8" x14ac:dyDescent="0.3">
      <c r="A12" s="95" t="str">
        <v>Bebo-Pflanzencreme</v>
      </c>
      <c r="B12" s="94" t="str">
        <v>Kanister</v>
      </c>
      <c r="C12" s="94">
        <v>0</v>
      </c>
      <c r="D12" s="94">
        <v>0</v>
      </c>
      <c r="E12" s="94">
        <v>0</v>
      </c>
      <c r="F12" s="94" t="str">
        <v>KL</v>
      </c>
      <c r="G12" s="94" t="b">
        <v>1</v>
      </c>
      <c r="H12" s="93"/>
    </row>
    <row r="13" spans="1:8" x14ac:dyDescent="0.3">
      <c r="A13" s="95" t="str">
        <v>Bratwurst 140g</v>
      </c>
      <c r="B13" s="94" t="str">
        <v>10er Paket</v>
      </c>
      <c r="C13" s="94">
        <v>0</v>
      </c>
      <c r="D13" s="94">
        <v>0</v>
      </c>
      <c r="E13" s="94">
        <v>8</v>
      </c>
      <c r="F13" s="94" t="str">
        <v>KL</v>
      </c>
      <c r="G13" s="94" t="b">
        <v>1</v>
      </c>
      <c r="H13" s="93"/>
    </row>
    <row r="14" spans="1:8" x14ac:dyDescent="0.3">
      <c r="A14" s="95" t="str">
        <v>Burrata</v>
      </c>
      <c r="B14" s="94" t="str">
        <v>Stück</v>
      </c>
      <c r="C14" s="94">
        <v>0</v>
      </c>
      <c r="D14" s="94">
        <v>0</v>
      </c>
      <c r="E14" s="94">
        <v>10</v>
      </c>
      <c r="F14" s="94" t="str">
        <v>KL</v>
      </c>
      <c r="G14" s="94" t="b">
        <v>1</v>
      </c>
      <c r="H14" s="93"/>
    </row>
    <row r="15" spans="1:8" x14ac:dyDescent="0.3">
      <c r="A15" s="95" t="str">
        <v xml:space="preserve">Butter </v>
      </c>
      <c r="B15" s="94" t="str">
        <v>10 kg Karton</v>
      </c>
      <c r="C15" s="94">
        <v>0</v>
      </c>
      <c r="D15" s="94">
        <v>0</v>
      </c>
      <c r="E15" s="94">
        <v>0</v>
      </c>
      <c r="F15" s="94" t="str">
        <v>KL</v>
      </c>
      <c r="G15" s="94" t="b">
        <v>1</v>
      </c>
      <c r="H15" s="93"/>
    </row>
    <row r="16" spans="1:8" x14ac:dyDescent="0.3">
      <c r="A16" s="95" t="str">
        <v>Cheddar Scheiben</v>
      </c>
      <c r="B16" s="94" t="str">
        <v>Paket</v>
      </c>
      <c r="C16" s="94">
        <v>0</v>
      </c>
      <c r="D16" s="94">
        <v>0</v>
      </c>
      <c r="E16" s="94">
        <v>1</v>
      </c>
      <c r="F16" s="94" t="str">
        <v>KL</v>
      </c>
      <c r="G16" s="94" t="b">
        <v>1</v>
      </c>
      <c r="H16" s="93"/>
    </row>
    <row r="17" spans="1:8" x14ac:dyDescent="0.3">
      <c r="A17" s="95" t="str">
        <v>Chicken Nuggets</v>
      </c>
      <c r="B17" s="94" t="str">
        <v>Beutel</v>
      </c>
      <c r="C17" s="94">
        <v>0</v>
      </c>
      <c r="D17" s="94">
        <v>0</v>
      </c>
      <c r="E17" s="94">
        <v>0</v>
      </c>
      <c r="F17" s="94" t="str">
        <v>TK</v>
      </c>
      <c r="G17" s="94" t="b">
        <v>1</v>
      </c>
      <c r="H17" s="93"/>
    </row>
    <row r="18" spans="1:8" x14ac:dyDescent="0.3">
      <c r="A18" s="95" t="str">
        <v>Ciabatta Brote</v>
      </c>
      <c r="B18" s="94" t="str">
        <v>Karton</v>
      </c>
      <c r="C18" s="94">
        <v>0</v>
      </c>
      <c r="D18" s="94">
        <v>0</v>
      </c>
      <c r="E18" s="94">
        <v>1</v>
      </c>
      <c r="F18" s="94" t="str">
        <v>TK</v>
      </c>
      <c r="G18" s="94" t="b">
        <v>1</v>
      </c>
      <c r="H18" s="93"/>
    </row>
    <row r="19" spans="1:8" x14ac:dyDescent="0.3">
      <c r="A19" s="95" t="str">
        <v>Couscous</v>
      </c>
      <c r="B19" s="94" t="str">
        <v>kg</v>
      </c>
      <c r="C19" s="94">
        <v>0</v>
      </c>
      <c r="D19" s="94">
        <v>0</v>
      </c>
      <c r="E19" s="94">
        <v>0</v>
      </c>
      <c r="F19" s="94" t="str">
        <v>TL</v>
      </c>
      <c r="G19" s="94" t="b">
        <v>1</v>
      </c>
      <c r="H19" s="93"/>
    </row>
    <row r="20" spans="1:8" x14ac:dyDescent="0.3">
      <c r="A20" s="95" t="str">
        <v>Creme Fraiche</v>
      </c>
      <c r="B20" s="94" t="str">
        <v>kg</v>
      </c>
      <c r="C20" s="94">
        <v>0</v>
      </c>
      <c r="D20" s="94">
        <v>0</v>
      </c>
      <c r="E20" s="94">
        <v>0</v>
      </c>
      <c r="F20" s="94" t="str">
        <v>KL</v>
      </c>
      <c r="G20" s="94" t="b">
        <v>1</v>
      </c>
      <c r="H20" s="93"/>
    </row>
    <row r="21" spans="1:8" x14ac:dyDescent="0.3">
      <c r="A21" s="95" t="str">
        <v>Curryketchup</v>
      </c>
      <c r="B21" s="94" t="str">
        <v>10l Eimer</v>
      </c>
      <c r="C21" s="94">
        <v>0</v>
      </c>
      <c r="D21" s="94">
        <v>0</v>
      </c>
      <c r="E21" s="94">
        <v>0</v>
      </c>
      <c r="F21" s="94" t="str">
        <v>TL</v>
      </c>
      <c r="G21" s="94" t="b">
        <v>1</v>
      </c>
      <c r="H21" s="93"/>
    </row>
    <row r="22" spans="1:8" x14ac:dyDescent="0.3">
      <c r="A22" s="95" t="str">
        <v>Currypulver</v>
      </c>
      <c r="B22" s="94" t="str">
        <v>Beutel</v>
      </c>
      <c r="C22" s="94">
        <v>0</v>
      </c>
      <c r="D22" s="94">
        <v>0</v>
      </c>
      <c r="E22" s="94">
        <v>0</v>
      </c>
      <c r="F22" s="94" t="str">
        <v>TL</v>
      </c>
      <c r="G22" s="94" t="b">
        <v>1</v>
      </c>
      <c r="H22" s="93"/>
    </row>
    <row r="23" spans="1:8" x14ac:dyDescent="0.3">
      <c r="A23" s="95" t="str">
        <v>Debic Parfait</v>
      </c>
      <c r="B23" s="94" t="str">
        <v>Flasche</v>
      </c>
      <c r="C23" s="94">
        <v>0</v>
      </c>
      <c r="D23" s="94">
        <v>0</v>
      </c>
      <c r="E23" s="94">
        <v>0</v>
      </c>
      <c r="F23" s="94" t="str">
        <v>KL</v>
      </c>
      <c r="G23" s="94" t="b">
        <v>1</v>
      </c>
      <c r="H23" s="93"/>
    </row>
    <row r="24" spans="1:8" x14ac:dyDescent="0.3">
      <c r="A24" s="95" t="str">
        <v>Dorade-Filets</v>
      </c>
      <c r="B24" s="94" t="str">
        <v>Karton</v>
      </c>
      <c r="C24" s="94">
        <v>0</v>
      </c>
      <c r="D24" s="94">
        <v>0</v>
      </c>
      <c r="E24" s="94">
        <v>0</v>
      </c>
      <c r="F24" s="94" t="str">
        <v>TK</v>
      </c>
      <c r="G24" s="94" t="b">
        <v>1</v>
      </c>
      <c r="H24" s="93"/>
    </row>
    <row r="25" spans="1:8" x14ac:dyDescent="0.3">
      <c r="A25" s="95" t="str">
        <v>Drahtschwämme, groß</v>
      </c>
      <c r="B25" s="94" t="str">
        <v>Stück</v>
      </c>
      <c r="C25" s="94">
        <v>2</v>
      </c>
      <c r="D25" s="94">
        <v>5</v>
      </c>
      <c r="E25" s="94">
        <v>0</v>
      </c>
      <c r="F25" s="94" t="str">
        <v>TL</v>
      </c>
      <c r="G25" s="94" t="b">
        <v>1</v>
      </c>
      <c r="H25" s="93"/>
    </row>
    <row r="26" spans="1:8" x14ac:dyDescent="0.3">
      <c r="A26" s="95" t="str">
        <v>Dunkle Beeren</v>
      </c>
      <c r="B26" s="94" t="str">
        <v>2,5kg</v>
      </c>
      <c r="C26" s="94">
        <v>0</v>
      </c>
      <c r="D26" s="94">
        <v>0</v>
      </c>
      <c r="E26" s="94">
        <v>0</v>
      </c>
      <c r="F26" s="94" t="str">
        <v>TK</v>
      </c>
      <c r="G26" s="94" t="b">
        <v>1</v>
      </c>
      <c r="H26" s="93"/>
    </row>
    <row r="27" spans="1:8" x14ac:dyDescent="0.3">
      <c r="A27" s="95" t="str">
        <v>Edna Baguette</v>
      </c>
      <c r="B27" s="94" t="str">
        <v>Karton</v>
      </c>
      <c r="C27" s="94">
        <v>0</v>
      </c>
      <c r="D27" s="94">
        <v>0</v>
      </c>
      <c r="E27" s="94">
        <v>4</v>
      </c>
      <c r="F27" s="94" t="str">
        <v>TK</v>
      </c>
      <c r="G27" s="94" t="b">
        <v>1</v>
      </c>
      <c r="H27" s="93"/>
    </row>
    <row r="28" spans="1:8" x14ac:dyDescent="0.3">
      <c r="A28" s="95" t="str">
        <v>Eiswaffeln</v>
      </c>
      <c r="B28" s="94" t="str">
        <v>Paket</v>
      </c>
      <c r="C28" s="94">
        <v>0</v>
      </c>
      <c r="D28" s="94">
        <v>0</v>
      </c>
      <c r="E28" s="94">
        <v>0</v>
      </c>
      <c r="F28" s="94" t="str">
        <v>TL</v>
      </c>
      <c r="G28" s="94" t="b">
        <v>1</v>
      </c>
      <c r="H28" s="93"/>
    </row>
    <row r="29" spans="1:8" x14ac:dyDescent="0.3">
      <c r="A29" s="95" t="str">
        <v>Erbsen</v>
      </c>
      <c r="B29" s="94" t="str">
        <v>Beutel</v>
      </c>
      <c r="C29" s="94">
        <v>0</v>
      </c>
      <c r="D29" s="94">
        <v>0</v>
      </c>
      <c r="E29" s="94">
        <v>0</v>
      </c>
      <c r="F29" s="94" t="str">
        <v>TK</v>
      </c>
      <c r="G29" s="94" t="b">
        <v>1</v>
      </c>
      <c r="H29" s="93"/>
    </row>
    <row r="30" spans="1:8" x14ac:dyDescent="0.3">
      <c r="A30" s="95" t="str">
        <v>Erdnüsse (gesalzen)</v>
      </c>
      <c r="B30" s="94" t="str">
        <v>Paket</v>
      </c>
      <c r="C30" s="94">
        <v>0</v>
      </c>
      <c r="D30" s="94">
        <v>0</v>
      </c>
      <c r="E30" s="94">
        <v>0</v>
      </c>
      <c r="F30" s="94" t="str">
        <v>TL</v>
      </c>
      <c r="G30" s="94" t="b">
        <v>1</v>
      </c>
      <c r="H30" s="93"/>
    </row>
    <row r="31" spans="1:8" x14ac:dyDescent="0.3">
      <c r="A31" s="95" t="str">
        <v xml:space="preserve">Farmfrites  Steakhouse Fries !!! </v>
      </c>
      <c r="B31" s="94" t="str">
        <v>Karton</v>
      </c>
      <c r="C31" s="94">
        <v>0</v>
      </c>
      <c r="D31" s="94">
        <v>0</v>
      </c>
      <c r="E31" s="94">
        <v>6</v>
      </c>
      <c r="F31" s="94" t="str">
        <v>KL</v>
      </c>
      <c r="G31" s="94" t="b">
        <v>1</v>
      </c>
      <c r="H31" s="93"/>
    </row>
    <row r="32" spans="1:8" x14ac:dyDescent="0.3">
      <c r="A32" s="95" t="str">
        <v>Feines Speisesalz</v>
      </c>
      <c r="B32" s="94" t="str">
        <v>10kg Eimer</v>
      </c>
      <c r="C32" s="94">
        <v>1</v>
      </c>
      <c r="D32" s="94">
        <v>2</v>
      </c>
      <c r="E32" s="94">
        <v>0</v>
      </c>
      <c r="F32" s="94" t="str">
        <v>TL</v>
      </c>
      <c r="G32" s="94" t="b">
        <v>1</v>
      </c>
      <c r="H32" s="93"/>
    </row>
    <row r="33" spans="1:8" x14ac:dyDescent="0.3">
      <c r="A33" s="95" t="str">
        <v>Fetakäse vom Schaf</v>
      </c>
      <c r="B33" s="94" t="str">
        <v>Stück</v>
      </c>
      <c r="C33" s="94">
        <v>0</v>
      </c>
      <c r="D33" s="94">
        <v>0</v>
      </c>
      <c r="E33" s="94">
        <v>0</v>
      </c>
      <c r="F33" s="94" t="str">
        <v>KL</v>
      </c>
      <c r="G33" s="94" t="b">
        <v>1</v>
      </c>
      <c r="H33" s="93"/>
    </row>
    <row r="34" spans="1:8" x14ac:dyDescent="0.3">
      <c r="A34" s="95" t="str">
        <v>Fischstäbchen (5kg)</v>
      </c>
      <c r="B34" s="94" t="str">
        <v>Beutel</v>
      </c>
      <c r="C34" s="94">
        <v>0</v>
      </c>
      <c r="D34" s="94">
        <v>0</v>
      </c>
      <c r="E34" s="94">
        <v>0</v>
      </c>
      <c r="F34" s="94" t="str">
        <v>TK</v>
      </c>
      <c r="G34" s="94" t="b">
        <v>1</v>
      </c>
      <c r="H34" s="93"/>
    </row>
    <row r="35" spans="1:8" x14ac:dyDescent="0.3">
      <c r="A35" s="95" t="str">
        <v>Fladenbrot</v>
      </c>
      <c r="B35" s="94" t="str">
        <v>Stück</v>
      </c>
      <c r="C35" s="94">
        <v>0</v>
      </c>
      <c r="D35" s="94">
        <v>0</v>
      </c>
      <c r="E35" s="94">
        <v>0</v>
      </c>
      <c r="F35" s="94" t="str">
        <v>KL</v>
      </c>
      <c r="G35" s="94" t="b">
        <v>1</v>
      </c>
      <c r="H35" s="93"/>
    </row>
    <row r="36" spans="1:8" x14ac:dyDescent="0.3">
      <c r="A36" s="95" t="str">
        <v>Frische Eier Gr. M</v>
      </c>
      <c r="B36" s="94" t="str">
        <v>Stück</v>
      </c>
      <c r="C36" s="94">
        <v>0</v>
      </c>
      <c r="D36" s="94">
        <v>0</v>
      </c>
      <c r="E36" s="94">
        <v>30</v>
      </c>
      <c r="F36" s="94" t="str">
        <v>KL</v>
      </c>
      <c r="G36" s="94" t="b">
        <v>1</v>
      </c>
      <c r="H36" s="93"/>
    </row>
    <row r="37" spans="1:8" x14ac:dyDescent="0.3">
      <c r="A37" s="95" t="str">
        <v>Frischkäse</v>
      </c>
      <c r="B37" s="94" t="str">
        <v>kg</v>
      </c>
      <c r="C37" s="94">
        <v>0</v>
      </c>
      <c r="D37" s="94">
        <v>0</v>
      </c>
      <c r="E37" s="94">
        <v>0</v>
      </c>
      <c r="F37" s="94" t="str">
        <v>KL</v>
      </c>
      <c r="G37" s="94" t="b">
        <v>1</v>
      </c>
      <c r="H37" s="93"/>
    </row>
    <row r="38" spans="1:8" x14ac:dyDescent="0.3">
      <c r="A38" s="95" t="str">
        <v>Garnelen (gepult) 8/12"er</v>
      </c>
      <c r="B38" s="94" t="str">
        <v>Beutel</v>
      </c>
      <c r="C38" s="94">
        <v>0</v>
      </c>
      <c r="D38" s="94">
        <v>0</v>
      </c>
      <c r="E38" s="94">
        <v>0</v>
      </c>
      <c r="F38" s="94" t="str">
        <v>TK</v>
      </c>
      <c r="G38" s="94" t="b">
        <v>1</v>
      </c>
      <c r="H38" s="93"/>
    </row>
    <row r="39" spans="1:8" x14ac:dyDescent="0.3">
      <c r="A39" s="95" t="str">
        <v>Gelantine</v>
      </c>
      <c r="B39" s="94" t="str">
        <v>Paket</v>
      </c>
      <c r="C39" s="94">
        <v>0</v>
      </c>
      <c r="D39" s="94">
        <v>0</v>
      </c>
      <c r="E39" s="94">
        <v>0</v>
      </c>
      <c r="F39" s="94" t="str">
        <v>TL</v>
      </c>
      <c r="G39" s="94" t="b">
        <v>1</v>
      </c>
      <c r="H39" s="93"/>
    </row>
    <row r="40" spans="1:8" x14ac:dyDescent="0.3">
      <c r="A40" s="95" t="str">
        <v>Geschälte Tomaten in Dose</v>
      </c>
      <c r="B40" s="94" t="str">
        <v>Dose</v>
      </c>
      <c r="C40" s="94">
        <v>2</v>
      </c>
      <c r="D40" s="94">
        <v>4</v>
      </c>
      <c r="E40" s="94">
        <v>0</v>
      </c>
      <c r="F40" s="94" t="str">
        <v>TL</v>
      </c>
      <c r="G40" s="94" t="b">
        <v>1</v>
      </c>
      <c r="H40" s="93"/>
    </row>
    <row r="41" spans="1:8" x14ac:dyDescent="0.3">
      <c r="A41" s="95" t="str">
        <v>Getrocknete Tymian</v>
      </c>
      <c r="B41" s="94" t="str">
        <v>Beutel</v>
      </c>
      <c r="C41" s="94">
        <v>0</v>
      </c>
      <c r="D41" s="94">
        <v>0</v>
      </c>
      <c r="E41" s="94">
        <v>0</v>
      </c>
      <c r="F41" s="94" t="str">
        <v>TL</v>
      </c>
      <c r="G41" s="94" t="b">
        <v>1</v>
      </c>
      <c r="H41" s="93"/>
    </row>
    <row r="42" spans="1:8" x14ac:dyDescent="0.3">
      <c r="A42" s="95" t="str">
        <v>gewürfelter Speck</v>
      </c>
      <c r="B42" s="94" t="str">
        <v>Paket</v>
      </c>
      <c r="C42" s="94">
        <v>0</v>
      </c>
      <c r="D42" s="94">
        <v>0</v>
      </c>
      <c r="E42" s="94">
        <v>0</v>
      </c>
      <c r="F42" s="94" t="str">
        <v>KL</v>
      </c>
      <c r="G42" s="94" t="b">
        <v>1</v>
      </c>
      <c r="H42" s="93"/>
    </row>
    <row r="43" spans="1:8" x14ac:dyDescent="0.3">
      <c r="A43" s="95" t="str">
        <v>Gewürzgurken(Scheiben)</v>
      </c>
      <c r="B43" s="94" t="str">
        <v>Dose</v>
      </c>
      <c r="C43" s="94">
        <v>0</v>
      </c>
      <c r="D43" s="94">
        <v>0</v>
      </c>
      <c r="E43" s="94">
        <v>0</v>
      </c>
      <c r="F43" s="94" t="str">
        <v>TL</v>
      </c>
      <c r="G43" s="94" t="b">
        <v>1</v>
      </c>
      <c r="H43" s="93"/>
    </row>
    <row r="44" spans="1:8" x14ac:dyDescent="0.3">
      <c r="A44" s="95" t="str">
        <v>Glasreiniger</v>
      </c>
      <c r="B44" s="94" t="str">
        <v>Flasche</v>
      </c>
      <c r="C44" s="94">
        <v>0</v>
      </c>
      <c r="D44" s="94">
        <v>0</v>
      </c>
      <c r="E44" s="94">
        <v>0</v>
      </c>
      <c r="F44" s="94" t="str">
        <v>TL</v>
      </c>
      <c r="G44" s="94" t="b">
        <v>1</v>
      </c>
      <c r="H44" s="93"/>
    </row>
    <row r="45" spans="1:8" x14ac:dyDescent="0.3">
      <c r="A45" s="95" t="str">
        <v>Gnocchi</v>
      </c>
      <c r="B45" s="94" t="str">
        <v>Paket</v>
      </c>
      <c r="C45" s="94">
        <v>0</v>
      </c>
      <c r="D45" s="94">
        <v>0</v>
      </c>
      <c r="E45" s="94">
        <v>0</v>
      </c>
      <c r="F45" s="94" t="str">
        <v>KL</v>
      </c>
      <c r="G45" s="94" t="b">
        <v>1</v>
      </c>
      <c r="H45" s="93"/>
    </row>
    <row r="46" spans="1:8" x14ac:dyDescent="0.3">
      <c r="A46" s="95" t="str">
        <v>Gojibeeren</v>
      </c>
      <c r="B46" s="94" t="str">
        <v>Glas</v>
      </c>
      <c r="C46" s="94">
        <v>0</v>
      </c>
      <c r="D46" s="94">
        <v>0</v>
      </c>
      <c r="E46" s="94">
        <v>0</v>
      </c>
      <c r="F46" s="94" t="str">
        <v>TL</v>
      </c>
      <c r="G46" s="94" t="b">
        <v>1</v>
      </c>
      <c r="H46" s="93"/>
    </row>
    <row r="47" spans="1:8" x14ac:dyDescent="0.3">
      <c r="A47" s="95" t="str">
        <v>Gouda gerieben</v>
      </c>
      <c r="B47" s="94" t="str">
        <v>Beutel</v>
      </c>
      <c r="C47" s="94">
        <v>0</v>
      </c>
      <c r="D47" s="94">
        <v>0</v>
      </c>
      <c r="E47" s="94">
        <v>0</v>
      </c>
      <c r="F47" s="94" t="str">
        <v>KL</v>
      </c>
      <c r="G47" s="94" t="b">
        <v>1</v>
      </c>
      <c r="H47" s="93"/>
    </row>
    <row r="48" spans="1:8" x14ac:dyDescent="0.3">
      <c r="A48" s="95" t="str">
        <v>griechischer Joghurt</v>
      </c>
      <c r="B48" s="94" t="str">
        <v>5kg!!!</v>
      </c>
      <c r="C48" s="94">
        <v>0</v>
      </c>
      <c r="D48" s="94">
        <v>0</v>
      </c>
      <c r="E48" s="94">
        <v>0</v>
      </c>
      <c r="F48" s="94" t="str">
        <v>KL</v>
      </c>
      <c r="G48" s="94" t="b">
        <v>1</v>
      </c>
      <c r="H48" s="93"/>
    </row>
    <row r="49" spans="1:8" x14ac:dyDescent="0.3">
      <c r="A49" s="95" t="str">
        <v>grüne Bohnen</v>
      </c>
      <c r="B49" s="94" t="str">
        <v>Beutel</v>
      </c>
      <c r="C49" s="94">
        <v>0</v>
      </c>
      <c r="D49" s="94">
        <v>0</v>
      </c>
      <c r="E49" s="94">
        <v>0</v>
      </c>
      <c r="F49" s="94" t="str">
        <v>TK</v>
      </c>
      <c r="G49" s="94" t="b">
        <v>1</v>
      </c>
      <c r="H49" s="93"/>
    </row>
    <row r="50" spans="1:8" x14ac:dyDescent="0.3">
      <c r="A50" s="95" t="str">
        <v>grüne Pefferkörner in Lake</v>
      </c>
      <c r="B50" s="94" t="str">
        <v>kl. Dose</v>
      </c>
      <c r="C50" s="94">
        <v>0</v>
      </c>
      <c r="D50" s="94">
        <v>0</v>
      </c>
      <c r="E50" s="94">
        <v>0</v>
      </c>
      <c r="F50" s="94" t="str">
        <v>TL</v>
      </c>
      <c r="G50" s="94" t="b">
        <v>1</v>
      </c>
      <c r="H50" s="93"/>
    </row>
    <row r="51" spans="1:8" x14ac:dyDescent="0.3">
      <c r="A51" s="95" t="str">
        <v>H - Milch 1,5 %</v>
      </c>
      <c r="B51" s="94" t="str">
        <v>1 l</v>
      </c>
      <c r="C51" s="94">
        <v>24</v>
      </c>
      <c r="D51" s="94">
        <v>48</v>
      </c>
      <c r="E51" s="94">
        <v>24</v>
      </c>
      <c r="F51" s="94" t="str">
        <v>TL</v>
      </c>
      <c r="G51" s="94" t="b">
        <v>1</v>
      </c>
      <c r="H51" s="93"/>
    </row>
    <row r="52" spans="1:8" x14ac:dyDescent="0.3">
      <c r="A52" s="95" t="str">
        <v>Hähnchenbrust</v>
      </c>
      <c r="B52" s="94" t="str">
        <v>kg</v>
      </c>
      <c r="C52" s="94">
        <v>0</v>
      </c>
      <c r="D52" s="94">
        <v>0</v>
      </c>
      <c r="E52" s="94">
        <v>0</v>
      </c>
      <c r="F52" s="94" t="str">
        <v>KL</v>
      </c>
      <c r="G52" s="94" t="b">
        <v>1</v>
      </c>
      <c r="H52" s="93"/>
    </row>
    <row r="53" spans="1:8" x14ac:dyDescent="0.3">
      <c r="A53" s="95" t="str">
        <v>Himbeersauce</v>
      </c>
      <c r="B53" s="94" t="str">
        <v>2 l</v>
      </c>
      <c r="C53" s="94">
        <v>0</v>
      </c>
      <c r="D53" s="94">
        <v>0</v>
      </c>
      <c r="E53" s="94">
        <v>0</v>
      </c>
      <c r="F53" s="94" t="str">
        <v>TL</v>
      </c>
      <c r="G53" s="94" t="b">
        <v>1</v>
      </c>
      <c r="H53" s="93"/>
    </row>
    <row r="54" spans="1:8" x14ac:dyDescent="0.3">
      <c r="A54" s="95" t="str">
        <v>Honig in Spritzflaschen</v>
      </c>
      <c r="B54" s="94" t="str">
        <v>Flasche</v>
      </c>
      <c r="C54" s="94">
        <v>0</v>
      </c>
      <c r="D54" s="94">
        <v>0</v>
      </c>
      <c r="E54" s="94">
        <v>0</v>
      </c>
      <c r="F54" s="94" t="str">
        <v>TL</v>
      </c>
      <c r="G54" s="94" t="b">
        <v>1</v>
      </c>
      <c r="H54" s="93"/>
    </row>
    <row r="55" spans="1:8" x14ac:dyDescent="0.3">
      <c r="A55" s="95" t="str">
        <v xml:space="preserve">Joghurt </v>
      </c>
      <c r="B55" s="94" t="str">
        <v xml:space="preserve">5 kg </v>
      </c>
      <c r="C55" s="94">
        <v>0</v>
      </c>
      <c r="D55" s="94">
        <v>0</v>
      </c>
      <c r="E55" s="94">
        <v>0</v>
      </c>
      <c r="F55" s="94" t="str">
        <v>KL</v>
      </c>
      <c r="G55" s="94" t="b">
        <v>1</v>
      </c>
      <c r="H55" s="93"/>
    </row>
    <row r="56" spans="1:8" x14ac:dyDescent="0.3">
      <c r="A56" s="95" t="str">
        <v>Kalbsrücken</v>
      </c>
      <c r="B56" s="94" t="str">
        <v>kg</v>
      </c>
      <c r="C56" s="94">
        <v>0</v>
      </c>
      <c r="D56" s="94">
        <v>0</v>
      </c>
      <c r="E56" s="94">
        <v>0</v>
      </c>
      <c r="F56" s="94" t="str">
        <v>KL</v>
      </c>
      <c r="G56" s="94" t="b">
        <v>1</v>
      </c>
      <c r="H56" s="93"/>
    </row>
    <row r="57" spans="1:8" x14ac:dyDescent="0.3">
      <c r="A57" s="95" t="str">
        <v>Kartoffelgratin</v>
      </c>
      <c r="B57" s="94" t="str">
        <v>gr. Paket</v>
      </c>
      <c r="C57" s="94">
        <v>0</v>
      </c>
      <c r="D57" s="94">
        <v>0</v>
      </c>
      <c r="E57" s="94">
        <v>0</v>
      </c>
      <c r="F57" s="94" t="str">
        <v>KL</v>
      </c>
      <c r="G57" s="94" t="b">
        <v>1</v>
      </c>
      <c r="H57" s="93"/>
    </row>
    <row r="58" spans="1:8" x14ac:dyDescent="0.3">
      <c r="A58" s="95" t="str">
        <v>Kartoffelsalat (Essig-Öl)</v>
      </c>
      <c r="B58" s="94" t="str">
        <v>Eimer</v>
      </c>
      <c r="C58" s="94">
        <v>0</v>
      </c>
      <c r="D58" s="94">
        <v>0</v>
      </c>
      <c r="E58" s="94">
        <v>0</v>
      </c>
      <c r="F58" s="94" t="str">
        <v>KL</v>
      </c>
      <c r="G58" s="94" t="b">
        <v>1</v>
      </c>
      <c r="H58" s="93"/>
    </row>
    <row r="59" spans="1:8" x14ac:dyDescent="0.3">
      <c r="A59" s="95" t="str">
        <v>Kartoffelsalat (Mayo)</v>
      </c>
      <c r="B59" s="94" t="str">
        <v>Eimer</v>
      </c>
      <c r="C59" s="94">
        <v>0</v>
      </c>
      <c r="D59" s="94">
        <v>0</v>
      </c>
      <c r="E59" s="94">
        <v>0</v>
      </c>
      <c r="F59" s="94" t="str">
        <v>KL</v>
      </c>
      <c r="G59" s="94" t="b">
        <v>1</v>
      </c>
      <c r="H59" s="93"/>
    </row>
    <row r="60" spans="1:8" x14ac:dyDescent="0.3">
      <c r="A60" s="95" t="str">
        <v>Kichererbsen</v>
      </c>
      <c r="B60" s="94" t="str">
        <v>Dose</v>
      </c>
      <c r="C60" s="94">
        <v>0</v>
      </c>
      <c r="D60" s="94">
        <v>0</v>
      </c>
      <c r="E60" s="94">
        <v>0</v>
      </c>
      <c r="F60" s="94" t="str">
        <v>TL</v>
      </c>
      <c r="G60" s="94" t="b">
        <v>1</v>
      </c>
      <c r="H60" s="93"/>
    </row>
    <row r="61" spans="1:8" x14ac:dyDescent="0.3">
      <c r="A61" s="95" t="str">
        <v>Kidneybohnen</v>
      </c>
      <c r="B61" s="94" t="str">
        <v>gr. Dose</v>
      </c>
      <c r="C61" s="94">
        <v>0</v>
      </c>
      <c r="D61" s="94">
        <v>0</v>
      </c>
      <c r="E61" s="94">
        <v>0</v>
      </c>
      <c r="F61" s="94" t="str">
        <v>TL</v>
      </c>
      <c r="G61" s="94" t="b">
        <v>1</v>
      </c>
      <c r="H61" s="93"/>
    </row>
    <row r="62" spans="1:8" x14ac:dyDescent="0.3">
      <c r="A62" s="95" t="str">
        <v>Kinderpunch</v>
      </c>
      <c r="B62" s="94" t="str">
        <v>Flasche</v>
      </c>
      <c r="C62" s="94">
        <v>0</v>
      </c>
      <c r="D62" s="94">
        <v>0</v>
      </c>
      <c r="E62" s="94">
        <v>0</v>
      </c>
      <c r="F62" s="94" t="str">
        <v>TL</v>
      </c>
      <c r="G62" s="94" t="b">
        <v>1</v>
      </c>
      <c r="H62" s="93"/>
    </row>
    <row r="63" spans="1:8" x14ac:dyDescent="0.3">
      <c r="A63" s="95" t="str">
        <v>Knusperschnitzel Schwein (230g)</v>
      </c>
      <c r="B63" s="94" t="str">
        <v>Karton</v>
      </c>
      <c r="C63" s="94">
        <v>0</v>
      </c>
      <c r="D63" s="94">
        <v>0</v>
      </c>
      <c r="E63" s="94">
        <v>0</v>
      </c>
      <c r="F63" s="94" t="str">
        <v>TK</v>
      </c>
      <c r="G63" s="94" t="b">
        <v>1</v>
      </c>
      <c r="H63" s="93"/>
    </row>
    <row r="64" spans="1:8" x14ac:dyDescent="0.3">
      <c r="A64" s="95" t="str">
        <v>Kochwein rot</v>
      </c>
      <c r="B64" s="94" t="str">
        <v>2 l Flasche</v>
      </c>
      <c r="C64" s="94">
        <v>0</v>
      </c>
      <c r="D64" s="94">
        <v>0</v>
      </c>
      <c r="E64" s="94">
        <v>0</v>
      </c>
      <c r="F64" s="94" t="str">
        <v>TL</v>
      </c>
      <c r="G64" s="94" t="b">
        <v>1</v>
      </c>
      <c r="H64" s="93"/>
    </row>
    <row r="65" spans="1:8" x14ac:dyDescent="0.3">
      <c r="A65" s="95" t="str">
        <v>Kochwein weiß</v>
      </c>
      <c r="B65" s="94" t="str">
        <v>2 l Flasche</v>
      </c>
      <c r="C65" s="94">
        <v>0</v>
      </c>
      <c r="D65" s="94">
        <v>0</v>
      </c>
      <c r="E65" s="94">
        <v>0</v>
      </c>
      <c r="F65" s="94" t="str">
        <v>TL</v>
      </c>
      <c r="G65" s="94" t="b">
        <v>1</v>
      </c>
      <c r="H65" s="93"/>
    </row>
    <row r="66" spans="1:8" x14ac:dyDescent="0.3">
      <c r="A66" s="95" t="str">
        <v>Kondensmilch 7,5 % Döschen</v>
      </c>
      <c r="B66" s="94" t="str">
        <v>Karton</v>
      </c>
      <c r="C66" s="94">
        <v>2</v>
      </c>
      <c r="D66" s="94">
        <v>3</v>
      </c>
      <c r="E66" s="94">
        <v>0</v>
      </c>
      <c r="F66" s="94" t="str">
        <v>TL</v>
      </c>
      <c r="G66" s="94" t="b">
        <v>1</v>
      </c>
      <c r="H66" s="93"/>
    </row>
    <row r="67" spans="1:8" x14ac:dyDescent="0.3">
      <c r="A67" s="95" t="str">
        <v>Krakauer Bratwurst</v>
      </c>
      <c r="B67" s="94" t="str">
        <v>Stück</v>
      </c>
      <c r="C67" s="94">
        <v>0</v>
      </c>
      <c r="D67" s="94">
        <v>0</v>
      </c>
      <c r="E67" s="94">
        <v>0</v>
      </c>
      <c r="F67" s="94" t="str">
        <v>KL</v>
      </c>
      <c r="G67" s="94" t="b">
        <v>1</v>
      </c>
      <c r="H67" s="93"/>
    </row>
    <row r="68" spans="1:8" x14ac:dyDescent="0.3">
      <c r="A68" s="95" t="str">
        <v>Krautsalat</v>
      </c>
      <c r="B68" s="94" t="str">
        <v>Eimer</v>
      </c>
      <c r="C68" s="94">
        <v>0</v>
      </c>
      <c r="D68" s="94">
        <v>0</v>
      </c>
      <c r="E68" s="94">
        <v>0</v>
      </c>
      <c r="F68" s="94" t="str">
        <v>KL</v>
      </c>
      <c r="G68" s="94" t="b">
        <v>1</v>
      </c>
      <c r="H68" s="93"/>
    </row>
    <row r="69" spans="1:8" x14ac:dyDescent="0.3">
      <c r="A69" s="95" t="str">
        <v>Lachsfilet (150g)</v>
      </c>
      <c r="B69" s="94" t="str">
        <v>Karton</v>
      </c>
      <c r="C69" s="94">
        <v>0</v>
      </c>
      <c r="D69" s="94">
        <v>0</v>
      </c>
      <c r="E69" s="94">
        <v>0</v>
      </c>
      <c r="F69" s="94" t="str">
        <v>TK</v>
      </c>
      <c r="G69" s="94" t="b">
        <v>1</v>
      </c>
      <c r="H69" s="93"/>
    </row>
    <row r="70" spans="1:8" x14ac:dyDescent="0.3">
      <c r="A70" s="95" t="str">
        <v>Latex Handschuhe Gr.L ungepudert</v>
      </c>
      <c r="B70" s="94" t="str">
        <v>Paket</v>
      </c>
      <c r="C70" s="94">
        <v>0</v>
      </c>
      <c r="D70" s="94">
        <v>0</v>
      </c>
      <c r="E70" s="94">
        <v>0</v>
      </c>
      <c r="F70" s="94" t="str">
        <v>TL</v>
      </c>
      <c r="G70" s="94" t="b">
        <v>1</v>
      </c>
      <c r="H70" s="93"/>
    </row>
    <row r="71" spans="1:8" x14ac:dyDescent="0.3">
      <c r="A71" s="95" t="str">
        <v>Latex Handschuhe Gr.M ungepudert</v>
      </c>
      <c r="B71" s="94" t="str">
        <v>Paket</v>
      </c>
      <c r="C71" s="94">
        <v>0</v>
      </c>
      <c r="D71" s="94">
        <v>0</v>
      </c>
      <c r="E71" s="94">
        <v>0</v>
      </c>
      <c r="F71" s="94" t="str">
        <v>TL</v>
      </c>
      <c r="G71" s="94" t="b">
        <v>1</v>
      </c>
      <c r="H71" s="93"/>
    </row>
    <row r="72" spans="1:8" x14ac:dyDescent="0.3">
      <c r="A72" s="95" t="str">
        <v>Latex Handschuhe Gr.XL ungepudert</v>
      </c>
      <c r="B72" s="94" t="str">
        <v>Paket</v>
      </c>
      <c r="C72" s="94">
        <v>0</v>
      </c>
      <c r="D72" s="94">
        <v>0</v>
      </c>
      <c r="E72" s="94">
        <v>0</v>
      </c>
      <c r="F72" s="94" t="str">
        <v>TL</v>
      </c>
      <c r="G72" s="94" t="b">
        <v>1</v>
      </c>
      <c r="H72" s="93"/>
    </row>
    <row r="73" spans="1:8" x14ac:dyDescent="0.3">
      <c r="A73" s="95" t="str">
        <v>Limburger Senf (körniger Senf)</v>
      </c>
      <c r="B73" s="94" t="str">
        <v>Eimer</v>
      </c>
      <c r="C73" s="94">
        <v>0</v>
      </c>
      <c r="D73" s="94">
        <v>0</v>
      </c>
      <c r="E73" s="94">
        <v>0</v>
      </c>
      <c r="F73" s="94" t="str">
        <v>KL</v>
      </c>
      <c r="G73" s="94" t="b">
        <v>1</v>
      </c>
      <c r="H73" s="93"/>
    </row>
    <row r="74" spans="1:8" x14ac:dyDescent="0.3">
      <c r="A74" s="95" t="str">
        <v>Madeira</v>
      </c>
      <c r="B74" s="94" t="str">
        <v>Flasche</v>
      </c>
      <c r="C74" s="94">
        <v>0</v>
      </c>
      <c r="D74" s="94">
        <v>0</v>
      </c>
      <c r="E74" s="94">
        <v>0</v>
      </c>
      <c r="F74" s="94" t="str">
        <v>TL</v>
      </c>
      <c r="G74" s="94" t="b">
        <v>1</v>
      </c>
      <c r="H74" s="93"/>
    </row>
    <row r="75" spans="1:8" x14ac:dyDescent="0.3">
      <c r="A75" s="95" t="str">
        <v>Mais</v>
      </c>
      <c r="B75" s="94" t="str">
        <v>gr. Dose</v>
      </c>
      <c r="C75" s="94">
        <v>0</v>
      </c>
      <c r="D75" s="94">
        <v>0</v>
      </c>
      <c r="E75" s="94">
        <v>0</v>
      </c>
      <c r="F75" s="94" t="str">
        <v>TL</v>
      </c>
      <c r="G75" s="94" t="b">
        <v>1</v>
      </c>
      <c r="H75" s="93"/>
    </row>
    <row r="76" spans="1:8" x14ac:dyDescent="0.3">
      <c r="A76" s="95" t="str">
        <v>Mayonnaise</v>
      </c>
      <c r="B76" s="94" t="str">
        <v>flasche</v>
      </c>
      <c r="C76" s="94">
        <v>0</v>
      </c>
      <c r="D76" s="94">
        <v>0</v>
      </c>
      <c r="E76" s="94">
        <v>0</v>
      </c>
      <c r="F76" s="94" t="str">
        <v>KL</v>
      </c>
      <c r="G76" s="94" t="b">
        <v>1</v>
      </c>
      <c r="H76" s="93"/>
    </row>
    <row r="77" spans="1:8" x14ac:dyDescent="0.3">
      <c r="A77" s="95" t="str">
        <v>Mehl (405 oder 550)</v>
      </c>
      <c r="B77" s="94" t="str">
        <v>10x 1kg</v>
      </c>
      <c r="C77" s="94">
        <v>0</v>
      </c>
      <c r="D77" s="94">
        <v>0</v>
      </c>
      <c r="E77" s="94">
        <v>0</v>
      </c>
      <c r="F77" s="94" t="str">
        <v>TL</v>
      </c>
      <c r="G77" s="94" t="b">
        <v>1</v>
      </c>
      <c r="H77" s="93"/>
    </row>
    <row r="78" spans="1:8" x14ac:dyDescent="0.3">
      <c r="A78" s="95" t="str">
        <v>Möhrensalat</v>
      </c>
      <c r="B78" s="94" t="str">
        <v>2kg Eimer</v>
      </c>
      <c r="C78" s="94">
        <v>0</v>
      </c>
      <c r="D78" s="94">
        <v>0</v>
      </c>
      <c r="E78" s="94">
        <v>2</v>
      </c>
      <c r="F78" s="94" t="str">
        <v>KL</v>
      </c>
      <c r="G78" s="94" t="b">
        <v>1</v>
      </c>
      <c r="H78" s="93"/>
    </row>
    <row r="79" spans="1:8" x14ac:dyDescent="0.3">
      <c r="A79" s="95" t="str">
        <v>Mozzarella (in Lake)</v>
      </c>
      <c r="B79" s="94" t="str">
        <v>Beutel</v>
      </c>
      <c r="C79" s="94">
        <v>0</v>
      </c>
      <c r="D79" s="94">
        <v>0</v>
      </c>
      <c r="E79" s="94">
        <v>0</v>
      </c>
      <c r="F79" s="94" t="str">
        <v>KL</v>
      </c>
      <c r="G79" s="94" t="b">
        <v>1</v>
      </c>
      <c r="H79" s="93"/>
    </row>
    <row r="80" spans="1:8" x14ac:dyDescent="0.3">
      <c r="A80" s="95" t="str">
        <v>Muskatnuss gemahlen</v>
      </c>
      <c r="B80" s="94" t="str">
        <v>Beutel</v>
      </c>
      <c r="C80" s="94">
        <v>0</v>
      </c>
      <c r="D80" s="94">
        <v>0</v>
      </c>
      <c r="E80" s="94">
        <v>0</v>
      </c>
      <c r="F80" s="94" t="str">
        <v>TL</v>
      </c>
      <c r="G80" s="94" t="b">
        <v>1</v>
      </c>
      <c r="H80" s="93"/>
    </row>
    <row r="81" spans="1:8" x14ac:dyDescent="0.3">
      <c r="A81" s="95" t="str">
        <v>Naturjoghurt</v>
      </c>
      <c r="B81" s="94" t="str">
        <v>5 kg</v>
      </c>
      <c r="C81" s="94">
        <v>0</v>
      </c>
      <c r="D81" s="94">
        <v>0</v>
      </c>
      <c r="E81" s="94">
        <v>0</v>
      </c>
      <c r="F81" s="94" t="str">
        <v>KL</v>
      </c>
      <c r="G81" s="94" t="b">
        <v>1</v>
      </c>
      <c r="H81" s="93"/>
    </row>
    <row r="82" spans="1:8" x14ac:dyDescent="0.3">
      <c r="A82" s="95" t="str">
        <v>Nolly Prait</v>
      </c>
      <c r="B82" s="94" t="str">
        <v>Flasche</v>
      </c>
      <c r="C82" s="94">
        <v>0</v>
      </c>
      <c r="D82" s="94">
        <v>0</v>
      </c>
      <c r="E82" s="94">
        <v>0</v>
      </c>
      <c r="F82" s="94" t="str">
        <v>TL</v>
      </c>
      <c r="G82" s="94" t="b">
        <v>1</v>
      </c>
      <c r="H82" s="93"/>
    </row>
    <row r="83" spans="1:8" x14ac:dyDescent="0.3">
      <c r="A83" s="95" t="str">
        <v>Nürnberger Rostbratwürstchen</v>
      </c>
      <c r="B83" s="94" t="str">
        <v>Paket</v>
      </c>
      <c r="C83" s="94">
        <v>0</v>
      </c>
      <c r="D83" s="94">
        <v>0</v>
      </c>
      <c r="E83" s="94">
        <v>0</v>
      </c>
      <c r="F83" s="94" t="str">
        <v>KL</v>
      </c>
      <c r="G83" s="94" t="b">
        <v>1</v>
      </c>
      <c r="H83" s="93"/>
    </row>
    <row r="84" spans="1:8" x14ac:dyDescent="0.3">
      <c r="A84" s="95" t="str">
        <v>Obstsalat 10 L</v>
      </c>
      <c r="B84" s="94" t="str">
        <v>Eimer</v>
      </c>
      <c r="C84" s="94">
        <v>0</v>
      </c>
      <c r="D84" s="94">
        <v>0</v>
      </c>
      <c r="E84" s="94">
        <v>0</v>
      </c>
      <c r="F84" s="94" t="str">
        <v>KL</v>
      </c>
      <c r="G84" s="94" t="b">
        <v>1</v>
      </c>
      <c r="H84" s="93"/>
    </row>
    <row r="85" spans="1:8" x14ac:dyDescent="0.3">
      <c r="A85" s="95" t="str">
        <v>Ofenkartoffeln</v>
      </c>
      <c r="B85" s="94" t="str">
        <v>kl. Kiste</v>
      </c>
      <c r="C85" s="94">
        <v>0</v>
      </c>
      <c r="D85" s="94">
        <v>0</v>
      </c>
      <c r="E85" s="94">
        <v>0</v>
      </c>
      <c r="F85" s="94" t="str">
        <v>KL</v>
      </c>
      <c r="G85" s="94" t="b">
        <v>1</v>
      </c>
      <c r="H85" s="93"/>
    </row>
    <row r="86" spans="1:8" x14ac:dyDescent="0.3">
      <c r="A86" s="95" t="str">
        <v>Oliven Schwarz ohne Kern</v>
      </c>
      <c r="B86" s="94" t="str">
        <v>Dose</v>
      </c>
      <c r="C86" s="94">
        <v>0</v>
      </c>
      <c r="D86" s="94">
        <v>0</v>
      </c>
      <c r="E86" s="94">
        <v>0</v>
      </c>
      <c r="F86" s="94" t="str">
        <v>TL</v>
      </c>
      <c r="G86" s="94" t="b">
        <v>1</v>
      </c>
      <c r="H86" s="93"/>
    </row>
    <row r="87" spans="1:8" x14ac:dyDescent="0.3">
      <c r="A87" s="95" t="str">
        <v>Olivenoel</v>
      </c>
      <c r="B87" s="94" t="str">
        <v>1 l</v>
      </c>
      <c r="C87" s="94">
        <v>0</v>
      </c>
      <c r="D87" s="94">
        <v>0</v>
      </c>
      <c r="E87" s="94">
        <v>10</v>
      </c>
      <c r="F87" s="94" t="str">
        <v>TL</v>
      </c>
      <c r="G87" s="94" t="b">
        <v>1</v>
      </c>
      <c r="H87" s="93"/>
    </row>
    <row r="88" spans="1:8" x14ac:dyDescent="0.3">
      <c r="A88" s="95" t="str">
        <v>Penne</v>
      </c>
      <c r="B88" s="94" t="str">
        <v>Paket</v>
      </c>
      <c r="C88" s="94">
        <v>0</v>
      </c>
      <c r="D88" s="94">
        <v>0</v>
      </c>
      <c r="E88" s="94">
        <v>0</v>
      </c>
      <c r="F88" s="94" t="str">
        <v>TL</v>
      </c>
      <c r="G88" s="94" t="b">
        <v>1</v>
      </c>
      <c r="H88" s="93"/>
    </row>
    <row r="89" spans="1:8" x14ac:dyDescent="0.3">
      <c r="A89" s="95" t="str">
        <v>Peperoni</v>
      </c>
      <c r="B89" s="94" t="str">
        <v>gr. Eimer</v>
      </c>
      <c r="C89" s="94">
        <v>0</v>
      </c>
      <c r="D89" s="94">
        <v>0</v>
      </c>
      <c r="E89" s="94">
        <v>0</v>
      </c>
      <c r="F89" s="94" t="str">
        <v>KL</v>
      </c>
      <c r="G89" s="94" t="b">
        <v>1</v>
      </c>
      <c r="H89" s="93"/>
    </row>
    <row r="90" spans="1:8" x14ac:dyDescent="0.3">
      <c r="A90" s="95" t="str">
        <v>Peperonie</v>
      </c>
      <c r="B90" s="94" t="str">
        <v>Eimer</v>
      </c>
      <c r="C90" s="94">
        <v>0</v>
      </c>
      <c r="D90" s="94">
        <v>0</v>
      </c>
      <c r="E90" s="94">
        <v>0</v>
      </c>
      <c r="F90" s="94" t="str">
        <v>TL</v>
      </c>
      <c r="G90" s="94" t="b">
        <v>1</v>
      </c>
      <c r="H90" s="93"/>
    </row>
    <row r="91" spans="1:8" x14ac:dyDescent="0.3">
      <c r="A91" s="95" t="str">
        <v>Pfeffer 2000Stk (Kleine Tüten)</v>
      </c>
      <c r="B91" s="94" t="str">
        <v>Karton</v>
      </c>
      <c r="C91" s="94">
        <v>0</v>
      </c>
      <c r="D91" s="94">
        <v>0</v>
      </c>
      <c r="E91" s="94">
        <v>0</v>
      </c>
      <c r="F91" s="94" t="str">
        <v>TL</v>
      </c>
      <c r="G91" s="94" t="b">
        <v>1</v>
      </c>
      <c r="H91" s="93"/>
    </row>
    <row r="92" spans="1:8" x14ac:dyDescent="0.3">
      <c r="A92" s="95" t="str">
        <v>Pfeffer, weiß, gemahlen</v>
      </c>
      <c r="B92" s="94" t="str">
        <v>Beutel</v>
      </c>
      <c r="C92" s="94">
        <v>0</v>
      </c>
      <c r="D92" s="94">
        <v>0</v>
      </c>
      <c r="E92" s="94">
        <v>0</v>
      </c>
      <c r="F92" s="94" t="str">
        <v>TL</v>
      </c>
      <c r="G92" s="94" t="b">
        <v>1</v>
      </c>
      <c r="H92" s="93"/>
    </row>
    <row r="93" spans="1:8" x14ac:dyDescent="0.3">
      <c r="A93" s="95" t="str">
        <v>Pflanzenöl</v>
      </c>
      <c r="B93" s="94" t="str">
        <v>10l. Kanister</v>
      </c>
      <c r="C93" s="94">
        <v>0</v>
      </c>
      <c r="D93" s="94">
        <v>0</v>
      </c>
      <c r="E93" s="94">
        <v>3</v>
      </c>
      <c r="F93" s="94" t="str">
        <v>TL</v>
      </c>
      <c r="G93" s="94" t="b">
        <v>1</v>
      </c>
      <c r="H93" s="93"/>
    </row>
    <row r="94" spans="1:8" x14ac:dyDescent="0.3">
      <c r="A94" s="95" t="str">
        <v>Pinienkerne</v>
      </c>
      <c r="B94" s="94" t="str">
        <v>1 kg Beutel</v>
      </c>
      <c r="C94" s="94">
        <v>0</v>
      </c>
      <c r="D94" s="94">
        <v>0</v>
      </c>
      <c r="E94" s="94">
        <v>0</v>
      </c>
      <c r="F94" s="94" t="str">
        <v>TL</v>
      </c>
      <c r="G94" s="94" t="b">
        <v>1</v>
      </c>
      <c r="H94" s="93"/>
    </row>
    <row r="95" spans="1:8" x14ac:dyDescent="0.3">
      <c r="A95" s="95" t="str">
        <v>Portwein</v>
      </c>
      <c r="B95" s="94" t="str">
        <v>1l. Flasche</v>
      </c>
      <c r="C95" s="94">
        <v>2</v>
      </c>
      <c r="D95" s="94">
        <v>4</v>
      </c>
      <c r="E95" s="94">
        <v>0</v>
      </c>
      <c r="F95" s="94" t="str">
        <v>TL</v>
      </c>
      <c r="G95" s="94" t="b">
        <v>1</v>
      </c>
      <c r="H95" s="93"/>
    </row>
    <row r="96" spans="1:8" x14ac:dyDescent="0.3">
      <c r="A96" s="95" t="str">
        <v>Printen</v>
      </c>
      <c r="B96" s="94" t="str">
        <v>kg</v>
      </c>
      <c r="C96" s="94">
        <v>0</v>
      </c>
      <c r="D96" s="94">
        <v>0</v>
      </c>
      <c r="E96" s="94">
        <v>0</v>
      </c>
      <c r="F96" s="94" t="str">
        <v>TL</v>
      </c>
      <c r="G96" s="94" t="b">
        <v>1</v>
      </c>
      <c r="H96" s="93"/>
    </row>
    <row r="97" spans="1:8" x14ac:dyDescent="0.3">
      <c r="A97" s="95" t="str">
        <v>Puderzucker</v>
      </c>
      <c r="B97" s="94" t="str">
        <v>kg</v>
      </c>
      <c r="C97" s="94">
        <v>0</v>
      </c>
      <c r="D97" s="94">
        <v>0</v>
      </c>
      <c r="E97" s="94">
        <v>1</v>
      </c>
      <c r="F97" s="94" t="str">
        <v>TL</v>
      </c>
      <c r="G97" s="94" t="b">
        <v>1</v>
      </c>
      <c r="H97" s="93"/>
    </row>
    <row r="98" spans="1:8" x14ac:dyDescent="0.3">
      <c r="A98" s="95" t="str">
        <v>Räucherlachs (TK)</v>
      </c>
      <c r="B98" s="94" t="str">
        <v>Seite</v>
      </c>
      <c r="C98" s="94">
        <v>0</v>
      </c>
      <c r="D98" s="94">
        <v>0</v>
      </c>
      <c r="E98" s="94">
        <v>0</v>
      </c>
      <c r="F98" s="94" t="str">
        <v>TK</v>
      </c>
      <c r="G98" s="94" t="b">
        <v>1</v>
      </c>
      <c r="H98" s="93"/>
    </row>
    <row r="99" spans="1:8" x14ac:dyDescent="0.3">
      <c r="A99" s="95" t="str">
        <v>Rinderfilet</v>
      </c>
      <c r="B99" s="94" t="str">
        <v>Stück</v>
      </c>
      <c r="C99" s="94">
        <v>0</v>
      </c>
      <c r="D99" s="94">
        <v>0</v>
      </c>
      <c r="E99" s="94">
        <v>0</v>
      </c>
      <c r="F99" s="94" t="str">
        <v>KL</v>
      </c>
      <c r="G99" s="94" t="b">
        <v>1</v>
      </c>
      <c r="H99" s="93"/>
    </row>
    <row r="100" spans="1:8" x14ac:dyDescent="0.3">
      <c r="A100" s="95" t="str">
        <v>Rinderhüfte</v>
      </c>
      <c r="B100" s="94" t="str">
        <v>Stück</v>
      </c>
      <c r="C100" s="94">
        <v>0</v>
      </c>
      <c r="D100" s="94">
        <v>0</v>
      </c>
      <c r="E100" s="94">
        <v>0</v>
      </c>
      <c r="F100" s="94" t="str">
        <v>KL</v>
      </c>
      <c r="G100" s="94" t="b">
        <v>1</v>
      </c>
      <c r="H100" s="93"/>
    </row>
    <row r="101" spans="1:8" x14ac:dyDescent="0.3">
      <c r="A101" s="95" t="str">
        <v>Risotto</v>
      </c>
      <c r="B101" s="94" t="str">
        <v>Beutel</v>
      </c>
      <c r="C101" s="94">
        <v>0</v>
      </c>
      <c r="D101" s="94">
        <v>0</v>
      </c>
      <c r="E101" s="94">
        <v>0</v>
      </c>
      <c r="F101" s="94" t="str">
        <v>TL</v>
      </c>
      <c r="G101" s="94" t="b">
        <v>1</v>
      </c>
      <c r="H101" s="93"/>
    </row>
    <row r="102" spans="1:8" x14ac:dyDescent="0.3">
      <c r="A102" s="95" t="str">
        <v>Rohzucker</v>
      </c>
      <c r="B102" s="94" t="str">
        <v>kg</v>
      </c>
      <c r="C102" s="94">
        <v>0</v>
      </c>
      <c r="D102" s="94">
        <v>0</v>
      </c>
      <c r="E102" s="94">
        <v>0</v>
      </c>
      <c r="F102" s="94" t="str">
        <v>TL</v>
      </c>
      <c r="G102" s="94" t="b">
        <v>1</v>
      </c>
      <c r="H102" s="93"/>
    </row>
    <row r="103" spans="1:8" x14ac:dyDescent="0.3">
      <c r="A103" s="95" t="str">
        <v>Röstzwiebeln</v>
      </c>
      <c r="B103" s="94" t="str">
        <v>Beutel</v>
      </c>
      <c r="C103" s="94">
        <v>0</v>
      </c>
      <c r="D103" s="94">
        <v>0</v>
      </c>
      <c r="E103" s="94">
        <v>0</v>
      </c>
      <c r="F103" s="94" t="str">
        <v>TL</v>
      </c>
      <c r="G103" s="94" t="b">
        <v>1</v>
      </c>
      <c r="H103" s="93"/>
    </row>
    <row r="104" spans="1:8" x14ac:dyDescent="0.3">
      <c r="A104" s="95" t="str">
        <v>Rote Beete (gegart, vakuum…)</v>
      </c>
      <c r="B104" s="94" t="str">
        <v>Paket</v>
      </c>
      <c r="C104" s="94">
        <v>0</v>
      </c>
      <c r="D104" s="94">
        <v>0</v>
      </c>
      <c r="E104" s="94">
        <v>0</v>
      </c>
      <c r="F104" s="94" t="str">
        <v>KL</v>
      </c>
      <c r="G104" s="94" t="b">
        <v>1</v>
      </c>
      <c r="H104" s="93"/>
    </row>
    <row r="105" spans="1:8" x14ac:dyDescent="0.3">
      <c r="A105" s="95" t="str">
        <v>Rote Beete (Streifen)</v>
      </c>
      <c r="B105" s="94" t="str">
        <v>Dose!!!!</v>
      </c>
      <c r="C105" s="94">
        <v>0</v>
      </c>
      <c r="D105" s="94">
        <v>0</v>
      </c>
      <c r="E105" s="94">
        <v>0</v>
      </c>
      <c r="F105" s="94" t="str">
        <v>TL</v>
      </c>
      <c r="G105" s="94" t="b">
        <v>1</v>
      </c>
      <c r="H105" s="93"/>
    </row>
    <row r="106" spans="1:8" x14ac:dyDescent="0.3">
      <c r="A106" s="95" t="str">
        <v>Rote Linsen</v>
      </c>
      <c r="B106" s="94" t="str">
        <v>5 kg Beutel</v>
      </c>
      <c r="C106" s="94">
        <v>0</v>
      </c>
      <c r="D106" s="94">
        <v>0</v>
      </c>
      <c r="E106" s="94">
        <v>0</v>
      </c>
      <c r="F106" s="94" t="str">
        <v>TL</v>
      </c>
      <c r="G106" s="94" t="b">
        <v>1</v>
      </c>
      <c r="H106" s="93"/>
    </row>
    <row r="107" spans="1:8" x14ac:dyDescent="0.3">
      <c r="A107" s="95" t="str">
        <v>Rumpsteak</v>
      </c>
      <c r="B107" s="94" t="str">
        <v>Stück</v>
      </c>
      <c r="C107" s="94">
        <v>0</v>
      </c>
      <c r="D107" s="94">
        <v>0</v>
      </c>
      <c r="E107" s="94">
        <v>0</v>
      </c>
      <c r="F107" s="94" t="str">
        <v>KL</v>
      </c>
      <c r="G107" s="94" t="b">
        <v>1</v>
      </c>
      <c r="H107" s="93"/>
    </row>
    <row r="108" spans="1:8" x14ac:dyDescent="0.3">
      <c r="A108" s="95" t="str">
        <v>Sahne, haltbar</v>
      </c>
      <c r="B108" s="94" t="str">
        <v>1 l Tetra</v>
      </c>
      <c r="C108" s="94">
        <v>0</v>
      </c>
      <c r="D108" s="94">
        <v>0</v>
      </c>
      <c r="E108" s="94">
        <v>0</v>
      </c>
      <c r="F108" s="94" t="str">
        <v>TL</v>
      </c>
      <c r="G108" s="94" t="b">
        <v>1</v>
      </c>
      <c r="H108" s="93"/>
    </row>
    <row r="109" spans="1:8" x14ac:dyDescent="0.3">
      <c r="A109" s="95" t="str">
        <v>Salz 2000Stk (Kleine Tüten)</v>
      </c>
      <c r="B109" s="94" t="str">
        <v>Karton</v>
      </c>
      <c r="C109" s="94">
        <v>0</v>
      </c>
      <c r="D109" s="94">
        <v>0</v>
      </c>
      <c r="E109" s="94">
        <v>0</v>
      </c>
      <c r="F109" s="94" t="str">
        <v>TL</v>
      </c>
      <c r="G109" s="94" t="b">
        <v>1</v>
      </c>
      <c r="H109" s="93"/>
    </row>
    <row r="110" spans="1:8" x14ac:dyDescent="0.3">
      <c r="A110" s="95" t="str">
        <v>Sambal Oelek</v>
      </c>
      <c r="B110" s="94" t="str">
        <v>gr. Glas</v>
      </c>
      <c r="C110" s="94">
        <v>0</v>
      </c>
      <c r="D110" s="94">
        <v>0</v>
      </c>
      <c r="E110" s="94">
        <v>0</v>
      </c>
      <c r="F110" s="94" t="str">
        <v>KL</v>
      </c>
      <c r="G110" s="94" t="b">
        <v>1</v>
      </c>
      <c r="H110" s="93"/>
    </row>
    <row r="111" spans="1:8" x14ac:dyDescent="0.3">
      <c r="A111" s="95" t="str">
        <v>Sardellen</v>
      </c>
      <c r="B111" s="94" t="str">
        <v>Dose</v>
      </c>
      <c r="C111" s="94">
        <v>0</v>
      </c>
      <c r="D111" s="94">
        <v>0</v>
      </c>
      <c r="E111" s="94">
        <v>0</v>
      </c>
      <c r="F111" s="94" t="str">
        <v>TL</v>
      </c>
      <c r="G111" s="94" t="b">
        <v>1</v>
      </c>
      <c r="H111" s="93"/>
    </row>
    <row r="112" spans="1:8" x14ac:dyDescent="0.3">
      <c r="A112" s="95" t="str">
        <v>Sauerkraut</v>
      </c>
      <c r="B112" s="94" t="str">
        <v>gr. Dose</v>
      </c>
      <c r="C112" s="94">
        <v>0</v>
      </c>
      <c r="D112" s="94">
        <v>0</v>
      </c>
      <c r="E112" s="94">
        <v>0</v>
      </c>
      <c r="F112" s="94" t="str">
        <v>TL</v>
      </c>
      <c r="G112" s="94" t="b">
        <v>1</v>
      </c>
      <c r="H112" s="93"/>
    </row>
    <row r="113" spans="1:8" x14ac:dyDescent="0.3">
      <c r="A113" s="95" t="str">
        <v>Schmand</v>
      </c>
      <c r="B113" s="94" t="str">
        <v xml:space="preserve">1l </v>
      </c>
      <c r="C113" s="94">
        <v>0</v>
      </c>
      <c r="D113" s="94">
        <v>0</v>
      </c>
      <c r="E113" s="94">
        <v>4</v>
      </c>
      <c r="F113" s="94" t="str">
        <v>KL</v>
      </c>
      <c r="G113" s="94" t="b">
        <v>1</v>
      </c>
      <c r="H113" s="93"/>
    </row>
    <row r="114" spans="1:8" x14ac:dyDescent="0.3">
      <c r="A114" s="95" t="str">
        <v>Schnelldesinfektion</v>
      </c>
      <c r="B114" s="94" t="str">
        <v>Flasche</v>
      </c>
      <c r="C114" s="94">
        <v>0</v>
      </c>
      <c r="D114" s="94">
        <v>0</v>
      </c>
      <c r="E114" s="94">
        <v>0</v>
      </c>
      <c r="F114" s="94" t="str">
        <v>TL</v>
      </c>
      <c r="G114" s="94" t="b">
        <v>1</v>
      </c>
      <c r="H114" s="93"/>
    </row>
    <row r="115" spans="1:8" x14ac:dyDescent="0.3">
      <c r="A115" s="95" t="str">
        <v>Schokoladensauce</v>
      </c>
      <c r="B115" s="94" t="str">
        <v>2 l</v>
      </c>
      <c r="C115" s="94">
        <v>0</v>
      </c>
      <c r="D115" s="94">
        <v>0</v>
      </c>
      <c r="E115" s="94">
        <v>0</v>
      </c>
      <c r="F115" s="94" t="str">
        <v>TL</v>
      </c>
      <c r="G115" s="94" t="b">
        <v>1</v>
      </c>
      <c r="H115" s="93"/>
    </row>
    <row r="116" spans="1:8" x14ac:dyDescent="0.3">
      <c r="A116" s="95" t="str">
        <v>Schwarze pfefferkörner</v>
      </c>
      <c r="B116" s="94" t="str">
        <v>Beutel</v>
      </c>
      <c r="C116" s="94">
        <v>0</v>
      </c>
      <c r="D116" s="94">
        <v>0</v>
      </c>
      <c r="E116" s="94">
        <v>0</v>
      </c>
      <c r="F116" s="94" t="str">
        <v>TL</v>
      </c>
      <c r="G116" s="94" t="b">
        <v>1</v>
      </c>
      <c r="H116" s="93"/>
    </row>
    <row r="117" spans="1:8" x14ac:dyDescent="0.3">
      <c r="A117" s="95" t="str">
        <v>Schweinefilet</v>
      </c>
      <c r="B117" s="94" t="str">
        <v>kg</v>
      </c>
      <c r="C117" s="94">
        <v>0</v>
      </c>
      <c r="D117" s="94">
        <v>0</v>
      </c>
      <c r="E117" s="94">
        <v>0</v>
      </c>
      <c r="F117" s="94" t="str">
        <v>KL</v>
      </c>
      <c r="G117" s="94" t="b">
        <v>1</v>
      </c>
      <c r="H117" s="93"/>
    </row>
    <row r="118" spans="1:8" x14ac:dyDescent="0.3">
      <c r="A118" s="95" t="str">
        <v>Schweinekrustenbraten (die kleinen!)</v>
      </c>
      <c r="B118" s="94" t="str">
        <v>Stück</v>
      </c>
      <c r="C118" s="94">
        <v>0</v>
      </c>
      <c r="D118" s="94">
        <v>0</v>
      </c>
      <c r="E118" s="94">
        <v>0</v>
      </c>
      <c r="F118" s="94" t="str">
        <v>KL</v>
      </c>
      <c r="G118" s="94" t="b">
        <v>1</v>
      </c>
      <c r="H118" s="93"/>
    </row>
    <row r="119" spans="1:8" x14ac:dyDescent="0.3">
      <c r="A119" s="95" t="str">
        <v>Schweinenacken</v>
      </c>
      <c r="B119" s="94" t="str">
        <v>kg</v>
      </c>
      <c r="C119" s="94">
        <v>0</v>
      </c>
      <c r="D119" s="94">
        <v>0</v>
      </c>
      <c r="E119" s="94">
        <v>0</v>
      </c>
      <c r="F119" s="94" t="str">
        <v>KL</v>
      </c>
      <c r="G119" s="94" t="b">
        <v>1</v>
      </c>
      <c r="H119" s="93"/>
    </row>
    <row r="120" spans="1:8" x14ac:dyDescent="0.3">
      <c r="A120" s="95" t="str">
        <v>Schweinerücken</v>
      </c>
      <c r="B120" s="94" t="str">
        <v>kg</v>
      </c>
      <c r="C120" s="94">
        <v>0</v>
      </c>
      <c r="D120" s="94">
        <v>0</v>
      </c>
      <c r="E120" s="94">
        <v>0</v>
      </c>
      <c r="F120" s="94" t="str">
        <v>KL</v>
      </c>
      <c r="G120" s="94" t="b">
        <v>1</v>
      </c>
      <c r="H120" s="93"/>
    </row>
    <row r="121" spans="1:8" x14ac:dyDescent="0.3">
      <c r="A121" s="95" t="str">
        <v>Serano Schinken</v>
      </c>
      <c r="B121" s="94" t="str">
        <v>Paket</v>
      </c>
      <c r="C121" s="94">
        <v>0</v>
      </c>
      <c r="D121" s="94">
        <v>0</v>
      </c>
      <c r="E121" s="94">
        <v>0</v>
      </c>
      <c r="F121" s="94" t="str">
        <v>KL</v>
      </c>
      <c r="G121" s="94" t="b">
        <v>1</v>
      </c>
      <c r="H121" s="93"/>
    </row>
    <row r="122" spans="1:8" x14ac:dyDescent="0.3">
      <c r="A122" s="95" t="str">
        <v>Servietten (33 mal 33 - 1/8 Falz)</v>
      </c>
      <c r="B122" s="94" t="str">
        <v>Karton</v>
      </c>
      <c r="C122" s="94">
        <v>1</v>
      </c>
      <c r="D122" s="94">
        <v>2</v>
      </c>
      <c r="E122" s="94">
        <v>0</v>
      </c>
      <c r="F122" s="94" t="str">
        <v>TL</v>
      </c>
      <c r="G122" s="94" t="b">
        <v>1</v>
      </c>
      <c r="H122" s="93"/>
    </row>
    <row r="123" spans="1:8" x14ac:dyDescent="0.3">
      <c r="A123" s="95" t="str">
        <v>Sonnenblumenkerne</v>
      </c>
      <c r="B123" s="94" t="str">
        <v>kg</v>
      </c>
      <c r="C123" s="94">
        <v>0</v>
      </c>
      <c r="D123" s="94">
        <v>0</v>
      </c>
      <c r="E123" s="94">
        <v>0</v>
      </c>
      <c r="F123" s="94" t="str">
        <v>KL</v>
      </c>
      <c r="G123" s="94" t="b">
        <v>1</v>
      </c>
      <c r="H123" s="93"/>
    </row>
    <row r="124" spans="1:8" x14ac:dyDescent="0.3">
      <c r="A124" s="95" t="str">
        <v>Spaghetti (Barilla)</v>
      </c>
      <c r="B124" s="94" t="str">
        <v>5 kg</v>
      </c>
      <c r="C124" s="94">
        <v>0</v>
      </c>
      <c r="D124" s="94">
        <v>0</v>
      </c>
      <c r="E124" s="94">
        <v>0</v>
      </c>
      <c r="F124" s="94" t="str">
        <v>TL</v>
      </c>
      <c r="G124" s="94" t="b">
        <v>1</v>
      </c>
      <c r="H124" s="93"/>
    </row>
    <row r="125" spans="1:8" x14ac:dyDescent="0.3">
      <c r="A125" s="95" t="str">
        <v>Spätzle (frisch)</v>
      </c>
      <c r="B125" s="94" t="str">
        <v>Beutel</v>
      </c>
      <c r="C125" s="94">
        <v>0</v>
      </c>
      <c r="D125" s="94">
        <v>0</v>
      </c>
      <c r="E125" s="94">
        <v>3</v>
      </c>
      <c r="F125" s="94" t="str">
        <v>KL</v>
      </c>
      <c r="G125" s="94" t="b">
        <v>1</v>
      </c>
      <c r="H125" s="93"/>
    </row>
    <row r="126" spans="1:8" x14ac:dyDescent="0.3">
      <c r="A126" s="95" t="str">
        <v>Spitzendeckchen (Rund)</v>
      </c>
      <c r="B126" s="94" t="str">
        <v>Paket</v>
      </c>
      <c r="C126" s="94">
        <v>0</v>
      </c>
      <c r="D126" s="94">
        <v>0</v>
      </c>
      <c r="E126" s="94">
        <v>0</v>
      </c>
      <c r="F126" s="94" t="str">
        <v>TL</v>
      </c>
      <c r="G126" s="94" t="b">
        <v>1</v>
      </c>
      <c r="H126" s="93"/>
    </row>
    <row r="127" spans="1:8" x14ac:dyDescent="0.3">
      <c r="A127" s="95" t="str">
        <v>Sprühsahne Debic</v>
      </c>
      <c r="B127" s="94" t="str">
        <v>Flasche</v>
      </c>
      <c r="C127" s="94">
        <v>0</v>
      </c>
      <c r="D127" s="94">
        <v>0</v>
      </c>
      <c r="E127" s="94">
        <v>0</v>
      </c>
      <c r="F127" s="94" t="str">
        <v>KL</v>
      </c>
      <c r="G127" s="94" t="b">
        <v>1</v>
      </c>
      <c r="H127" s="93"/>
    </row>
    <row r="128" spans="1:8" x14ac:dyDescent="0.3">
      <c r="A128" s="95" t="str">
        <v>Spülmittel</v>
      </c>
      <c r="B128" s="94" t="str">
        <v>Flasche</v>
      </c>
      <c r="C128" s="94">
        <v>0</v>
      </c>
      <c r="D128" s="94">
        <v>0</v>
      </c>
      <c r="E128" s="94">
        <v>0</v>
      </c>
      <c r="F128" s="94" t="str">
        <v>TL</v>
      </c>
      <c r="G128" s="94" t="b">
        <v>1</v>
      </c>
      <c r="H128" s="93"/>
    </row>
    <row r="129" spans="1:8" x14ac:dyDescent="0.3">
      <c r="A129" s="95" t="str">
        <v>Steinpilze</v>
      </c>
      <c r="B129" s="94" t="str">
        <v>Beutel</v>
      </c>
      <c r="C129" s="94">
        <v>0</v>
      </c>
      <c r="D129" s="94">
        <v>0</v>
      </c>
      <c r="E129" s="94">
        <v>0</v>
      </c>
      <c r="F129" s="94" t="str">
        <v>TK</v>
      </c>
      <c r="G129" s="94" t="b">
        <v>1</v>
      </c>
      <c r="H129" s="93"/>
    </row>
    <row r="130" spans="1:8" x14ac:dyDescent="0.3">
      <c r="A130" s="95" t="str">
        <v>Stiel-Kapern</v>
      </c>
      <c r="B130" s="94" t="str">
        <v>Glas</v>
      </c>
      <c r="C130" s="94">
        <v>0</v>
      </c>
      <c r="D130" s="94">
        <v>0</v>
      </c>
      <c r="E130" s="94">
        <v>0</v>
      </c>
      <c r="F130" s="94" t="str">
        <v>TL</v>
      </c>
      <c r="G130" s="94" t="b">
        <v>1</v>
      </c>
      <c r="H130" s="93"/>
    </row>
    <row r="131" spans="1:8" x14ac:dyDescent="0.3">
      <c r="A131" s="95" t="str">
        <v>Tafelsenf</v>
      </c>
      <c r="B131" s="94" t="str">
        <v>Eimer</v>
      </c>
      <c r="C131" s="94">
        <v>0</v>
      </c>
      <c r="D131" s="94">
        <v>0</v>
      </c>
      <c r="E131" s="94">
        <v>0</v>
      </c>
      <c r="F131" s="94" t="str">
        <v>TL</v>
      </c>
      <c r="G131" s="94" t="b">
        <v>1</v>
      </c>
      <c r="H131" s="93"/>
    </row>
    <row r="132" spans="1:8" x14ac:dyDescent="0.3">
      <c r="A132" s="95" t="str">
        <v>Tagliatelle (Ristorante, Rana)</v>
      </c>
      <c r="B132" s="94" t="str">
        <v>Beutel</v>
      </c>
      <c r="C132" s="94">
        <v>0</v>
      </c>
      <c r="D132" s="94">
        <v>0</v>
      </c>
      <c r="E132" s="94">
        <v>0</v>
      </c>
      <c r="F132" s="94" t="str">
        <v>KL</v>
      </c>
      <c r="G132" s="94" t="b">
        <v>1</v>
      </c>
      <c r="H132" s="93"/>
    </row>
    <row r="133" spans="1:8" x14ac:dyDescent="0.3">
      <c r="A133" s="95" t="str">
        <v>Tetra Vollei</v>
      </c>
      <c r="B133" s="94" t="str">
        <v>1 Liter</v>
      </c>
      <c r="C133" s="94">
        <v>0</v>
      </c>
      <c r="D133" s="94">
        <v>0</v>
      </c>
      <c r="E133" s="94">
        <v>0</v>
      </c>
      <c r="F133" s="94" t="str">
        <v>KL</v>
      </c>
      <c r="G133" s="94" t="b">
        <v>1</v>
      </c>
      <c r="H133" s="93"/>
    </row>
    <row r="134" spans="1:8" x14ac:dyDescent="0.3">
      <c r="A134" s="95" t="str">
        <v>Thunfischdose groß (einzeln)</v>
      </c>
      <c r="B134" s="94" t="str">
        <v>Stück</v>
      </c>
      <c r="C134" s="94">
        <v>0</v>
      </c>
      <c r="D134" s="94">
        <v>0</v>
      </c>
      <c r="E134" s="94">
        <v>0</v>
      </c>
      <c r="F134" s="94" t="str">
        <v>TL</v>
      </c>
      <c r="G134" s="94" t="b">
        <v>1</v>
      </c>
      <c r="H134" s="93"/>
    </row>
    <row r="135" spans="1:8" x14ac:dyDescent="0.3">
      <c r="A135" s="95" t="str">
        <v>Thunfischkonserven</v>
      </c>
      <c r="B135" s="94" t="str">
        <v>3/1 Dose</v>
      </c>
      <c r="C135" s="94">
        <v>2</v>
      </c>
      <c r="D135" s="94">
        <v>4</v>
      </c>
      <c r="E135" s="94">
        <v>0</v>
      </c>
      <c r="F135" s="94" t="str">
        <v>TL</v>
      </c>
      <c r="G135" s="94" t="b">
        <v>1</v>
      </c>
      <c r="H135" s="93"/>
    </row>
    <row r="136" spans="1:8" x14ac:dyDescent="0.3">
      <c r="A136" s="95" t="str">
        <v>To go box</v>
      </c>
      <c r="B136" s="94" t="str">
        <v>Packung</v>
      </c>
      <c r="C136" s="94">
        <v>0</v>
      </c>
      <c r="D136" s="94">
        <v>0</v>
      </c>
      <c r="E136" s="94">
        <v>0</v>
      </c>
      <c r="F136" s="94" t="str">
        <v>TL</v>
      </c>
      <c r="G136" s="94" t="b">
        <v>1</v>
      </c>
      <c r="H136" s="93"/>
    </row>
    <row r="137" spans="1:8" x14ac:dyDescent="0.3">
      <c r="A137" s="95" t="str">
        <v>Tomatenmark kleine Dose</v>
      </c>
      <c r="B137" s="94" t="str">
        <v>Dose</v>
      </c>
      <c r="C137" s="94">
        <v>0</v>
      </c>
      <c r="D137" s="94">
        <v>0</v>
      </c>
      <c r="E137" s="94">
        <v>0</v>
      </c>
      <c r="F137" s="94" t="str">
        <v>TL</v>
      </c>
      <c r="G137" s="94" t="b">
        <v>1</v>
      </c>
      <c r="H137" s="93"/>
    </row>
    <row r="138" spans="1:8" x14ac:dyDescent="0.3">
      <c r="A138" s="95" t="str">
        <v>Trüffelpaste</v>
      </c>
      <c r="B138" s="94" t="str">
        <v>Glas</v>
      </c>
      <c r="C138" s="94">
        <v>0</v>
      </c>
      <c r="D138" s="94">
        <v>0</v>
      </c>
      <c r="E138" s="94">
        <v>0</v>
      </c>
      <c r="F138" s="94" t="str">
        <v>TL</v>
      </c>
      <c r="G138" s="94" t="b">
        <v>1</v>
      </c>
      <c r="H138" s="93"/>
    </row>
    <row r="139" spans="1:8" x14ac:dyDescent="0.3">
      <c r="A139" s="95" t="str">
        <v>Vanillesauce 1L</v>
      </c>
      <c r="B139" s="94" t="str">
        <v>Tetra</v>
      </c>
      <c r="C139" s="94">
        <v>0</v>
      </c>
      <c r="D139" s="94">
        <v>0</v>
      </c>
      <c r="E139" s="94">
        <v>0</v>
      </c>
      <c r="F139" s="94" t="str">
        <v>KL</v>
      </c>
      <c r="G139" s="94" t="b">
        <v>1</v>
      </c>
      <c r="H139" s="93"/>
    </row>
    <row r="140" spans="1:8" x14ac:dyDescent="0.3">
      <c r="A140" s="95" t="str">
        <v>Vanilleschote (Wo mehrere drin sind)</v>
      </c>
      <c r="B140" s="94" t="str">
        <v>Dose</v>
      </c>
      <c r="C140" s="94">
        <v>0</v>
      </c>
      <c r="D140" s="94">
        <v>0</v>
      </c>
      <c r="E140" s="94">
        <v>0</v>
      </c>
      <c r="F140" s="94" t="str">
        <v>TL</v>
      </c>
      <c r="G140" s="94" t="b">
        <v>1</v>
      </c>
      <c r="H140" s="93"/>
    </row>
    <row r="141" spans="1:8" x14ac:dyDescent="0.3">
      <c r="A141" s="95" t="str">
        <v>Vanillezucker</v>
      </c>
      <c r="B141" s="94" t="str">
        <v>kg</v>
      </c>
      <c r="C141" s="94">
        <v>0</v>
      </c>
      <c r="D141" s="94">
        <v>0</v>
      </c>
      <c r="E141" s="94">
        <v>0</v>
      </c>
      <c r="F141" s="94" t="str">
        <v>TL</v>
      </c>
      <c r="G141" s="94" t="b">
        <v>1</v>
      </c>
      <c r="H141" s="93"/>
    </row>
    <row r="142" spans="1:8" x14ac:dyDescent="0.3">
      <c r="A142" s="95" t="str">
        <v>Weiße Bohnen (Butterbohnen)</v>
      </c>
      <c r="B142" s="94" t="str">
        <v>gr. Dose</v>
      </c>
      <c r="C142" s="94">
        <v>0</v>
      </c>
      <c r="D142" s="94">
        <v>0</v>
      </c>
      <c r="E142" s="94">
        <v>0</v>
      </c>
      <c r="F142" s="94" t="str">
        <v>TL</v>
      </c>
      <c r="G142" s="94" t="b">
        <v>1</v>
      </c>
      <c r="H142" s="93"/>
    </row>
    <row r="143" spans="1:8" x14ac:dyDescent="0.3">
      <c r="A143" s="95" t="str">
        <v>Ziegenkäse mit Schimmelrand</v>
      </c>
      <c r="B143" s="94" t="str">
        <v>1 kg Stange</v>
      </c>
      <c r="C143" s="94">
        <v>0</v>
      </c>
      <c r="D143" s="94">
        <v>0</v>
      </c>
      <c r="E143" s="94">
        <v>0</v>
      </c>
      <c r="F143" s="94" t="str">
        <v>KL</v>
      </c>
      <c r="G143" s="94" t="b">
        <v>1</v>
      </c>
      <c r="H143" s="93"/>
    </row>
    <row r="144" spans="1:8" x14ac:dyDescent="0.3">
      <c r="A144" s="95" t="str">
        <v>Zucker</v>
      </c>
      <c r="B144" s="94" t="str">
        <v>kg</v>
      </c>
      <c r="C144" s="94">
        <v>0</v>
      </c>
      <c r="D144" s="94">
        <v>0</v>
      </c>
      <c r="E144" s="94">
        <v>0</v>
      </c>
      <c r="F144" s="94" t="str">
        <v>TL</v>
      </c>
      <c r="G144" s="94" t="b">
        <v>1</v>
      </c>
      <c r="H144" s="93"/>
    </row>
    <row r="145" spans="1:8" x14ac:dyDescent="0.3">
      <c r="A145" s="95" t="str">
        <v>Zuckersticks</v>
      </c>
      <c r="B145" s="94" t="str">
        <v>Karton</v>
      </c>
      <c r="C145" s="94">
        <v>0</v>
      </c>
      <c r="D145" s="94">
        <v>0</v>
      </c>
      <c r="E145" s="94">
        <v>0</v>
      </c>
      <c r="F145" s="94" t="str">
        <v>TL</v>
      </c>
      <c r="G145" s="94" t="b">
        <v>1</v>
      </c>
      <c r="H145" s="93"/>
    </row>
    <row r="146" spans="1:8" x14ac:dyDescent="0.3">
      <c r="A146" s="95"/>
      <c r="B146" s="94"/>
      <c r="C146" s="94"/>
      <c r="D146" s="94"/>
      <c r="E146" s="94"/>
      <c r="F146" s="94"/>
      <c r="G146" s="94"/>
      <c r="H146" s="93"/>
    </row>
    <row r="147" spans="1:8" x14ac:dyDescent="0.3">
      <c r="A147" s="95"/>
      <c r="B147" s="94"/>
      <c r="C147" s="94"/>
      <c r="D147" s="94"/>
      <c r="E147" s="94"/>
      <c r="F147" s="94"/>
      <c r="G147" s="94"/>
      <c r="H147" s="93"/>
    </row>
    <row r="148" spans="1:8" x14ac:dyDescent="0.3">
      <c r="A148" s="95"/>
      <c r="B148" s="94"/>
      <c r="C148" s="94"/>
      <c r="D148" s="94"/>
      <c r="E148" s="94"/>
      <c r="F148" s="94"/>
      <c r="G148" s="94"/>
      <c r="H148" s="93"/>
    </row>
    <row r="149" spans="1:8" x14ac:dyDescent="0.3">
      <c r="A149" s="95"/>
      <c r="B149" s="94"/>
      <c r="C149" s="94"/>
      <c r="D149" s="94"/>
      <c r="E149" s="94"/>
      <c r="F149" s="94"/>
      <c r="G149" s="94"/>
      <c r="H149" s="93"/>
    </row>
    <row r="150" spans="1:8" x14ac:dyDescent="0.3">
      <c r="A150" s="95"/>
      <c r="B150" s="94"/>
      <c r="C150" s="94"/>
      <c r="D150" s="94"/>
      <c r="E150" s="94"/>
      <c r="F150" s="94"/>
      <c r="G150" s="94"/>
      <c r="H150" s="93"/>
    </row>
    <row r="151" spans="1:8" x14ac:dyDescent="0.3">
      <c r="A151" s="95"/>
      <c r="B151" s="94"/>
      <c r="C151" s="94"/>
      <c r="D151" s="94"/>
      <c r="E151" s="94"/>
      <c r="F151" s="94"/>
      <c r="G151" s="94"/>
      <c r="H151" s="93"/>
    </row>
    <row r="152" spans="1:8" x14ac:dyDescent="0.3">
      <c r="A152" s="95"/>
      <c r="B152" s="94"/>
      <c r="C152" s="94"/>
      <c r="D152" s="94"/>
      <c r="E152" s="94"/>
      <c r="F152" s="94"/>
      <c r="G152" s="94"/>
      <c r="H152" s="93"/>
    </row>
    <row r="153" spans="1:8" x14ac:dyDescent="0.3">
      <c r="A153" s="95"/>
      <c r="B153" s="94"/>
      <c r="C153" s="94"/>
      <c r="D153" s="94"/>
      <c r="E153" s="94"/>
      <c r="F153" s="94"/>
      <c r="G153" s="94"/>
      <c r="H153" s="93"/>
    </row>
    <row r="154" spans="1:8" x14ac:dyDescent="0.3">
      <c r="A154" s="95"/>
      <c r="B154" s="94"/>
      <c r="C154" s="94"/>
      <c r="D154" s="94"/>
      <c r="E154" s="94"/>
      <c r="F154" s="94"/>
      <c r="G154" s="94"/>
      <c r="H154" s="93"/>
    </row>
    <row r="155" spans="1:8" x14ac:dyDescent="0.3">
      <c r="A155" s="95"/>
      <c r="B155" s="94"/>
      <c r="C155" s="94"/>
      <c r="D155" s="94"/>
      <c r="E155" s="94"/>
      <c r="F155" s="94"/>
      <c r="G155" s="94"/>
      <c r="H155" s="93"/>
    </row>
    <row r="156" spans="1:8" ht="19.5" thickBot="1" x14ac:dyDescent="0.35">
      <c r="A156" s="92"/>
      <c r="B156" s="91"/>
      <c r="C156" s="91"/>
      <c r="D156" s="91"/>
      <c r="E156" s="91"/>
      <c r="F156" s="91"/>
      <c r="G156" s="91"/>
      <c r="H156" s="90"/>
    </row>
  </sheetData>
  <conditionalFormatting sqref="C4:D156">
    <cfRule type="cellIs" dxfId="10" priority="1" stopIfTrue="1" operator="equal">
      <formula>0</formula>
    </cfRule>
  </conditionalFormatting>
  <pageMargins left="0.7" right="0.7" top="0.78740157499999996" bottom="0.78740157499999996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3B8C1-BE5F-471F-8D6B-6DCCDF171AD1}">
  <sheetPr codeName="Tabelle2"/>
  <dimension ref="A1:G159"/>
  <sheetViews>
    <sheetView workbookViewId="0">
      <selection activeCell="E30" sqref="E30"/>
    </sheetView>
  </sheetViews>
  <sheetFormatPr baseColWidth="10" defaultColWidth="8.5703125" defaultRowHeight="26.25" x14ac:dyDescent="0.4"/>
  <cols>
    <col min="1" max="1" width="36.140625" style="83" bestFit="1" customWidth="1"/>
    <col min="2" max="2" width="12.5703125" style="83" bestFit="1" customWidth="1"/>
    <col min="3" max="4" width="12.5703125" style="83" customWidth="1"/>
    <col min="5" max="5" width="15.140625" style="87" bestFit="1" customWidth="1"/>
    <col min="6" max="6" width="10" style="83" customWidth="1"/>
    <col min="7" max="7" width="8.42578125" style="83" bestFit="1" customWidth="1"/>
    <col min="8" max="16384" width="8.5703125" style="83"/>
  </cols>
  <sheetData>
    <row r="1" spans="1:7" x14ac:dyDescent="0.4">
      <c r="A1" s="83" t="s">
        <v>1</v>
      </c>
      <c r="B1" s="83" t="s">
        <v>200</v>
      </c>
      <c r="C1" s="83" t="s">
        <v>219</v>
      </c>
      <c r="D1" s="83" t="s">
        <v>220</v>
      </c>
      <c r="E1" s="87" t="s">
        <v>3</v>
      </c>
      <c r="F1" s="83" t="s">
        <v>215</v>
      </c>
      <c r="G1" s="83" t="s">
        <v>203</v>
      </c>
    </row>
    <row r="2" spans="1:7" hidden="1" x14ac:dyDescent="0.25">
      <c r="A2" s="83" t="s">
        <v>172</v>
      </c>
      <c r="B2" s="85" t="s">
        <v>24</v>
      </c>
      <c r="C2" s="85">
        <v>1</v>
      </c>
      <c r="D2" s="85">
        <v>2</v>
      </c>
      <c r="E2" s="113"/>
      <c r="F2" s="83" t="s">
        <v>216</v>
      </c>
      <c r="G2" s="84" t="b">
        <v>0</v>
      </c>
    </row>
    <row r="3" spans="1:7" hidden="1" x14ac:dyDescent="0.25">
      <c r="A3" s="83" t="s">
        <v>95</v>
      </c>
      <c r="B3" s="85" t="s">
        <v>109</v>
      </c>
      <c r="C3" s="85"/>
      <c r="D3" s="85"/>
      <c r="E3" s="113"/>
      <c r="F3" s="83" t="s">
        <v>216</v>
      </c>
      <c r="G3" s="84" t="b">
        <v>1</v>
      </c>
    </row>
    <row r="4" spans="1:7" hidden="1" x14ac:dyDescent="0.25">
      <c r="A4" s="85" t="s">
        <v>130</v>
      </c>
      <c r="B4" s="85" t="s">
        <v>131</v>
      </c>
      <c r="C4" s="85"/>
      <c r="D4" s="85"/>
      <c r="E4" s="113"/>
      <c r="F4" s="83" t="s">
        <v>216</v>
      </c>
      <c r="G4" s="84" t="b">
        <v>0</v>
      </c>
    </row>
    <row r="5" spans="1:7" hidden="1" x14ac:dyDescent="0.25">
      <c r="A5" s="83" t="s">
        <v>25</v>
      </c>
      <c r="B5" s="85" t="s">
        <v>24</v>
      </c>
      <c r="C5" s="85">
        <v>1</v>
      </c>
      <c r="D5" s="85">
        <v>2</v>
      </c>
      <c r="E5" s="113"/>
      <c r="F5" s="83" t="s">
        <v>216</v>
      </c>
      <c r="G5" s="84" t="b">
        <v>1</v>
      </c>
    </row>
    <row r="6" spans="1:7" hidden="1" x14ac:dyDescent="0.25">
      <c r="A6" s="83" t="s">
        <v>123</v>
      </c>
      <c r="B6" s="85" t="s">
        <v>60</v>
      </c>
      <c r="C6" s="85"/>
      <c r="D6" s="85"/>
      <c r="E6" s="113"/>
      <c r="F6" s="83" t="s">
        <v>216</v>
      </c>
      <c r="G6" s="84" t="b">
        <v>1</v>
      </c>
    </row>
    <row r="7" spans="1:7" x14ac:dyDescent="0.25">
      <c r="A7" s="85" t="s">
        <v>164</v>
      </c>
      <c r="B7" s="85" t="s">
        <v>11</v>
      </c>
      <c r="C7" s="85"/>
      <c r="D7" s="85"/>
      <c r="E7" s="113">
        <v>1</v>
      </c>
      <c r="F7" s="83" t="s">
        <v>218</v>
      </c>
      <c r="G7" s="84" t="b">
        <v>1</v>
      </c>
    </row>
    <row r="8" spans="1:7" x14ac:dyDescent="0.25">
      <c r="A8" s="85" t="s">
        <v>165</v>
      </c>
      <c r="B8" s="85" t="s">
        <v>11</v>
      </c>
      <c r="C8" s="85"/>
      <c r="D8" s="85"/>
      <c r="E8" s="113">
        <v>1</v>
      </c>
      <c r="F8" s="83" t="s">
        <v>218</v>
      </c>
      <c r="G8" s="84" t="b">
        <v>1</v>
      </c>
    </row>
    <row r="9" spans="1:7" hidden="1" x14ac:dyDescent="0.25">
      <c r="A9" s="83" t="s">
        <v>71</v>
      </c>
      <c r="B9" s="85" t="s">
        <v>27</v>
      </c>
      <c r="C9" s="85"/>
      <c r="D9" s="85"/>
      <c r="E9" s="113"/>
      <c r="F9" s="83" t="s">
        <v>216</v>
      </c>
      <c r="G9" s="84" t="b">
        <v>1</v>
      </c>
    </row>
    <row r="10" spans="1:7" hidden="1" x14ac:dyDescent="0.25">
      <c r="A10" s="83" t="s">
        <v>84</v>
      </c>
      <c r="B10" s="85" t="s">
        <v>27</v>
      </c>
      <c r="C10" s="85"/>
      <c r="D10" s="85"/>
      <c r="E10" s="113">
        <v>6</v>
      </c>
      <c r="F10" s="83" t="s">
        <v>216</v>
      </c>
      <c r="G10" s="84" t="b">
        <v>1</v>
      </c>
    </row>
    <row r="11" spans="1:7" hidden="1" x14ac:dyDescent="0.25">
      <c r="A11" s="85" t="s">
        <v>99</v>
      </c>
      <c r="B11" s="85" t="s">
        <v>26</v>
      </c>
      <c r="C11" s="85"/>
      <c r="D11" s="85"/>
      <c r="E11" s="113">
        <v>4</v>
      </c>
      <c r="F11" s="83" t="s">
        <v>217</v>
      </c>
      <c r="G11" s="84" t="b">
        <v>1</v>
      </c>
    </row>
    <row r="12" spans="1:7" hidden="1" x14ac:dyDescent="0.25">
      <c r="A12" s="85" t="s">
        <v>64</v>
      </c>
      <c r="B12" s="85" t="s">
        <v>65</v>
      </c>
      <c r="C12" s="85"/>
      <c r="D12" s="85"/>
      <c r="E12" s="113"/>
      <c r="F12" s="83" t="s">
        <v>217</v>
      </c>
      <c r="G12" s="84" t="b">
        <v>1</v>
      </c>
    </row>
    <row r="13" spans="1:7" hidden="1" x14ac:dyDescent="0.25">
      <c r="A13" s="85" t="s">
        <v>45</v>
      </c>
      <c r="B13" s="85" t="s">
        <v>204</v>
      </c>
      <c r="C13" s="85"/>
      <c r="D13" s="85"/>
      <c r="E13" s="113">
        <v>8</v>
      </c>
      <c r="F13" s="83" t="s">
        <v>217</v>
      </c>
      <c r="G13" s="84" t="b">
        <v>1</v>
      </c>
    </row>
    <row r="14" spans="1:7" hidden="1" x14ac:dyDescent="0.25">
      <c r="A14" s="85" t="s">
        <v>199</v>
      </c>
      <c r="B14" s="85" t="s">
        <v>8</v>
      </c>
      <c r="C14" s="85"/>
      <c r="D14" s="85"/>
      <c r="E14" s="113">
        <v>10</v>
      </c>
      <c r="F14" s="83" t="s">
        <v>217</v>
      </c>
      <c r="G14" s="84" t="b">
        <v>1</v>
      </c>
    </row>
    <row r="15" spans="1:7" hidden="1" x14ac:dyDescent="0.25">
      <c r="A15" s="85" t="s">
        <v>42</v>
      </c>
      <c r="B15" s="85" t="s">
        <v>29</v>
      </c>
      <c r="C15" s="85"/>
      <c r="D15" s="85"/>
      <c r="E15" s="113"/>
      <c r="F15" s="83" t="s">
        <v>217</v>
      </c>
      <c r="G15" s="84" t="b">
        <v>1</v>
      </c>
    </row>
    <row r="16" spans="1:7" hidden="1" x14ac:dyDescent="0.25">
      <c r="A16" s="85" t="s">
        <v>149</v>
      </c>
      <c r="B16" s="85" t="s">
        <v>60</v>
      </c>
      <c r="C16" s="85"/>
      <c r="D16" s="85"/>
      <c r="E16" s="113">
        <v>1</v>
      </c>
      <c r="F16" s="83" t="s">
        <v>217</v>
      </c>
      <c r="G16" s="84" t="b">
        <v>1</v>
      </c>
    </row>
    <row r="17" spans="1:7" x14ac:dyDescent="0.25">
      <c r="A17" s="85" t="s">
        <v>213</v>
      </c>
      <c r="B17" s="85" t="s">
        <v>54</v>
      </c>
      <c r="C17" s="85"/>
      <c r="D17" s="85"/>
      <c r="E17" s="113"/>
      <c r="F17" s="83" t="s">
        <v>218</v>
      </c>
      <c r="G17" s="84" t="b">
        <v>1</v>
      </c>
    </row>
    <row r="18" spans="1:7" x14ac:dyDescent="0.25">
      <c r="A18" s="85" t="s">
        <v>37</v>
      </c>
      <c r="B18" s="85" t="s">
        <v>11</v>
      </c>
      <c r="C18" s="85"/>
      <c r="D18" s="85"/>
      <c r="E18" s="113">
        <v>1</v>
      </c>
      <c r="F18" s="83" t="s">
        <v>218</v>
      </c>
      <c r="G18" s="84" t="b">
        <v>1</v>
      </c>
    </row>
    <row r="19" spans="1:7" hidden="1" x14ac:dyDescent="0.25">
      <c r="A19" s="85" t="s">
        <v>107</v>
      </c>
      <c r="B19" s="85" t="s">
        <v>7</v>
      </c>
      <c r="C19" s="85"/>
      <c r="D19" s="85"/>
      <c r="E19" s="113"/>
      <c r="F19" s="83" t="s">
        <v>216</v>
      </c>
      <c r="G19" s="84" t="b">
        <v>1</v>
      </c>
    </row>
    <row r="20" spans="1:7" hidden="1" x14ac:dyDescent="0.25">
      <c r="A20" s="85" t="s">
        <v>155</v>
      </c>
      <c r="B20" s="85" t="s">
        <v>7</v>
      </c>
      <c r="C20" s="85"/>
      <c r="D20" s="85"/>
      <c r="E20" s="113"/>
      <c r="F20" s="83" t="s">
        <v>217</v>
      </c>
      <c r="G20" s="84" t="b">
        <v>1</v>
      </c>
    </row>
    <row r="21" spans="1:7" hidden="1" x14ac:dyDescent="0.25">
      <c r="A21" s="85" t="s">
        <v>94</v>
      </c>
      <c r="B21" s="85" t="s">
        <v>224</v>
      </c>
      <c r="C21" s="85"/>
      <c r="D21" s="85"/>
      <c r="E21" s="113"/>
      <c r="F21" s="83" t="s">
        <v>216</v>
      </c>
      <c r="G21" s="84" t="b">
        <v>1</v>
      </c>
    </row>
    <row r="22" spans="1:7" hidden="1" x14ac:dyDescent="0.25">
      <c r="A22" s="83" t="s">
        <v>194</v>
      </c>
      <c r="B22" s="85" t="s">
        <v>54</v>
      </c>
      <c r="C22" s="85"/>
      <c r="D22" s="85"/>
      <c r="E22" s="113"/>
      <c r="F22" s="83" t="s">
        <v>216</v>
      </c>
      <c r="G22" s="84" t="b">
        <v>1</v>
      </c>
    </row>
    <row r="23" spans="1:7" hidden="1" x14ac:dyDescent="0.25">
      <c r="A23" s="83" t="s">
        <v>190</v>
      </c>
      <c r="B23" s="85" t="s">
        <v>9</v>
      </c>
      <c r="C23" s="85"/>
      <c r="D23" s="85"/>
      <c r="E23" s="113"/>
      <c r="F23" s="83" t="s">
        <v>216</v>
      </c>
      <c r="G23" s="84" t="b">
        <v>0</v>
      </c>
    </row>
    <row r="24" spans="1:7" hidden="1" x14ac:dyDescent="0.25">
      <c r="A24" s="85" t="s">
        <v>105</v>
      </c>
      <c r="B24" s="85" t="s">
        <v>27</v>
      </c>
      <c r="C24" s="85"/>
      <c r="D24" s="85"/>
      <c r="E24" s="113"/>
      <c r="F24" s="83" t="s">
        <v>217</v>
      </c>
      <c r="G24" s="84" t="b">
        <v>1</v>
      </c>
    </row>
    <row r="25" spans="1:7" x14ac:dyDescent="0.25">
      <c r="A25" s="85" t="s">
        <v>214</v>
      </c>
      <c r="B25" s="85" t="s">
        <v>11</v>
      </c>
      <c r="C25" s="85"/>
      <c r="D25" s="85"/>
      <c r="E25" s="113"/>
      <c r="F25" s="83" t="s">
        <v>218</v>
      </c>
      <c r="G25" s="84" t="b">
        <v>1</v>
      </c>
    </row>
    <row r="26" spans="1:7" hidden="1" x14ac:dyDescent="0.25">
      <c r="A26" s="83" t="s">
        <v>173</v>
      </c>
      <c r="B26" s="85" t="s">
        <v>8</v>
      </c>
      <c r="C26" s="85">
        <v>2</v>
      </c>
      <c r="D26" s="85">
        <v>5</v>
      </c>
      <c r="E26" s="113"/>
      <c r="F26" s="83" t="s">
        <v>216</v>
      </c>
      <c r="G26" s="84" t="b">
        <v>1</v>
      </c>
    </row>
    <row r="27" spans="1:7" x14ac:dyDescent="0.25">
      <c r="A27" s="85" t="s">
        <v>211</v>
      </c>
      <c r="B27" s="85" t="s">
        <v>158</v>
      </c>
      <c r="C27" s="85"/>
      <c r="D27" s="85"/>
      <c r="E27" s="113"/>
      <c r="F27" s="83" t="s">
        <v>218</v>
      </c>
      <c r="G27" s="84" t="b">
        <v>1</v>
      </c>
    </row>
    <row r="28" spans="1:7" x14ac:dyDescent="0.25">
      <c r="A28" s="85" t="s">
        <v>96</v>
      </c>
      <c r="B28" s="85" t="s">
        <v>11</v>
      </c>
      <c r="C28" s="85"/>
      <c r="D28" s="85"/>
      <c r="E28" s="113">
        <v>4</v>
      </c>
      <c r="F28" s="83" t="s">
        <v>218</v>
      </c>
      <c r="G28" s="84" t="b">
        <v>1</v>
      </c>
    </row>
    <row r="29" spans="1:7" hidden="1" x14ac:dyDescent="0.25">
      <c r="A29" s="83" t="s">
        <v>134</v>
      </c>
      <c r="B29" s="85" t="s">
        <v>60</v>
      </c>
      <c r="C29" s="85"/>
      <c r="D29" s="85"/>
      <c r="E29" s="113"/>
      <c r="F29" s="83" t="s">
        <v>216</v>
      </c>
      <c r="G29" s="84" t="b">
        <v>1</v>
      </c>
    </row>
    <row r="30" spans="1:7" x14ac:dyDescent="0.25">
      <c r="A30" s="85" t="s">
        <v>157</v>
      </c>
      <c r="B30" s="85" t="s">
        <v>54</v>
      </c>
      <c r="C30" s="85"/>
      <c r="D30" s="85"/>
      <c r="E30" s="113"/>
      <c r="F30" s="83" t="s">
        <v>218</v>
      </c>
      <c r="G30" s="84" t="b">
        <v>1</v>
      </c>
    </row>
    <row r="31" spans="1:7" hidden="1" x14ac:dyDescent="0.25">
      <c r="A31" s="83" t="s">
        <v>89</v>
      </c>
      <c r="B31" s="85" t="s">
        <v>60</v>
      </c>
      <c r="C31" s="85"/>
      <c r="D31" s="85"/>
      <c r="E31" s="113"/>
      <c r="F31" s="83" t="s">
        <v>216</v>
      </c>
      <c r="G31" s="84" t="b">
        <v>1</v>
      </c>
    </row>
    <row r="32" spans="1:7" hidden="1" x14ac:dyDescent="0.25">
      <c r="A32" s="85" t="s">
        <v>101</v>
      </c>
      <c r="B32" s="85" t="s">
        <v>11</v>
      </c>
      <c r="C32" s="85"/>
      <c r="D32" s="85"/>
      <c r="E32" s="113">
        <v>6</v>
      </c>
      <c r="F32" s="83" t="s">
        <v>217</v>
      </c>
      <c r="G32" s="84" t="b">
        <v>1</v>
      </c>
    </row>
    <row r="33" spans="1:7" hidden="1" x14ac:dyDescent="0.25">
      <c r="A33" s="83" t="s">
        <v>17</v>
      </c>
      <c r="B33" s="85" t="s">
        <v>16</v>
      </c>
      <c r="C33" s="85">
        <v>1</v>
      </c>
      <c r="D33" s="85">
        <v>2</v>
      </c>
      <c r="E33" s="113"/>
      <c r="F33" s="83" t="s">
        <v>216</v>
      </c>
      <c r="G33" s="84" t="b">
        <v>1</v>
      </c>
    </row>
    <row r="34" spans="1:7" hidden="1" x14ac:dyDescent="0.25">
      <c r="A34" s="85" t="s">
        <v>28</v>
      </c>
      <c r="B34" s="85" t="s">
        <v>8</v>
      </c>
      <c r="C34" s="85"/>
      <c r="D34" s="85"/>
      <c r="E34" s="113"/>
      <c r="F34" s="83" t="s">
        <v>217</v>
      </c>
      <c r="G34" s="84" t="b">
        <v>1</v>
      </c>
    </row>
    <row r="35" spans="1:7" x14ac:dyDescent="0.25">
      <c r="A35" s="85" t="s">
        <v>210</v>
      </c>
      <c r="B35" s="85" t="s">
        <v>54</v>
      </c>
      <c r="C35" s="85"/>
      <c r="D35" s="85"/>
      <c r="E35" s="113"/>
      <c r="F35" s="83" t="s">
        <v>218</v>
      </c>
      <c r="G35" s="84" t="b">
        <v>1</v>
      </c>
    </row>
    <row r="36" spans="1:7" hidden="1" x14ac:dyDescent="0.25">
      <c r="A36" s="85" t="s">
        <v>156</v>
      </c>
      <c r="B36" s="85" t="s">
        <v>8</v>
      </c>
      <c r="C36" s="85"/>
      <c r="D36" s="85"/>
      <c r="E36" s="113"/>
      <c r="F36" s="83" t="s">
        <v>217</v>
      </c>
      <c r="G36" s="84" t="b">
        <v>1</v>
      </c>
    </row>
    <row r="37" spans="1:7" hidden="1" x14ac:dyDescent="0.25">
      <c r="A37" s="85" t="s">
        <v>15</v>
      </c>
      <c r="B37" s="85" t="s">
        <v>8</v>
      </c>
      <c r="C37" s="85"/>
      <c r="D37" s="85"/>
      <c r="E37" s="113">
        <v>30</v>
      </c>
      <c r="F37" s="83" t="s">
        <v>217</v>
      </c>
      <c r="G37" s="84" t="b">
        <v>1</v>
      </c>
    </row>
    <row r="38" spans="1:7" hidden="1" x14ac:dyDescent="0.25">
      <c r="A38" s="85" t="s">
        <v>147</v>
      </c>
      <c r="B38" s="85" t="s">
        <v>7</v>
      </c>
      <c r="C38" s="85"/>
      <c r="D38" s="85"/>
      <c r="E38" s="113"/>
      <c r="F38" s="83" t="s">
        <v>217</v>
      </c>
      <c r="G38" s="84" t="b">
        <v>0</v>
      </c>
    </row>
    <row r="39" spans="1:7" hidden="1" x14ac:dyDescent="0.25">
      <c r="A39" s="83" t="s">
        <v>23</v>
      </c>
      <c r="B39" s="85" t="s">
        <v>24</v>
      </c>
      <c r="C39" s="85">
        <v>1</v>
      </c>
      <c r="D39" s="85">
        <v>3</v>
      </c>
      <c r="E39" s="113"/>
      <c r="F39" s="83" t="s">
        <v>216</v>
      </c>
      <c r="G39" s="84" t="b">
        <v>0</v>
      </c>
    </row>
    <row r="40" spans="1:7" hidden="1" x14ac:dyDescent="0.25">
      <c r="A40" s="85" t="s">
        <v>139</v>
      </c>
      <c r="B40" s="85" t="s">
        <v>7</v>
      </c>
      <c r="C40" s="85"/>
      <c r="D40" s="85"/>
      <c r="E40" s="113"/>
      <c r="F40" s="83" t="s">
        <v>217</v>
      </c>
      <c r="G40" s="84" t="b">
        <v>1</v>
      </c>
    </row>
    <row r="41" spans="1:7" x14ac:dyDescent="0.25">
      <c r="A41" s="85" t="s">
        <v>48</v>
      </c>
      <c r="B41" s="85" t="s">
        <v>54</v>
      </c>
      <c r="C41" s="85"/>
      <c r="D41" s="85"/>
      <c r="E41" s="113"/>
      <c r="F41" s="83" t="s">
        <v>218</v>
      </c>
      <c r="G41" s="84" t="b">
        <v>1</v>
      </c>
    </row>
    <row r="42" spans="1:7" hidden="1" x14ac:dyDescent="0.25">
      <c r="A42" s="83" t="s">
        <v>153</v>
      </c>
      <c r="B42" s="85" t="s">
        <v>60</v>
      </c>
      <c r="C42" s="85"/>
      <c r="D42" s="85"/>
      <c r="E42" s="113"/>
      <c r="F42" s="83" t="s">
        <v>216</v>
      </c>
      <c r="G42" s="84" t="b">
        <v>1</v>
      </c>
    </row>
    <row r="43" spans="1:7" hidden="1" x14ac:dyDescent="0.25">
      <c r="A43" s="83" t="s">
        <v>12</v>
      </c>
      <c r="B43" s="85" t="s">
        <v>10</v>
      </c>
      <c r="C43" s="85">
        <v>2</v>
      </c>
      <c r="D43" s="85">
        <v>4</v>
      </c>
      <c r="E43" s="113"/>
      <c r="F43" s="83" t="s">
        <v>216</v>
      </c>
      <c r="G43" s="84" t="b">
        <v>1</v>
      </c>
    </row>
    <row r="44" spans="1:7" hidden="1" x14ac:dyDescent="0.25">
      <c r="A44" s="83" t="s">
        <v>193</v>
      </c>
      <c r="B44" s="85" t="s">
        <v>54</v>
      </c>
      <c r="C44" s="85"/>
      <c r="D44" s="85"/>
      <c r="E44" s="113"/>
      <c r="F44" s="83" t="s">
        <v>216</v>
      </c>
      <c r="G44" s="84" t="b">
        <v>1</v>
      </c>
    </row>
    <row r="45" spans="1:7" hidden="1" x14ac:dyDescent="0.25">
      <c r="A45" s="85" t="s">
        <v>57</v>
      </c>
      <c r="B45" s="85" t="s">
        <v>60</v>
      </c>
      <c r="C45" s="85"/>
      <c r="D45" s="85"/>
      <c r="E45" s="113"/>
      <c r="F45" s="83" t="s">
        <v>217</v>
      </c>
      <c r="G45" s="84" t="b">
        <v>1</v>
      </c>
    </row>
    <row r="46" spans="1:7" hidden="1" x14ac:dyDescent="0.25">
      <c r="A46" s="83" t="s">
        <v>178</v>
      </c>
      <c r="B46" s="85" t="s">
        <v>10</v>
      </c>
      <c r="C46" s="85"/>
      <c r="D46" s="85"/>
      <c r="E46" s="113"/>
      <c r="F46" s="83" t="s">
        <v>216</v>
      </c>
      <c r="G46" s="84" t="b">
        <v>1</v>
      </c>
    </row>
    <row r="47" spans="1:7" hidden="1" x14ac:dyDescent="0.25">
      <c r="A47" s="85" t="s">
        <v>135</v>
      </c>
      <c r="B47" s="85" t="s">
        <v>27</v>
      </c>
      <c r="C47" s="85"/>
      <c r="D47" s="85"/>
      <c r="E47" s="113"/>
      <c r="F47" s="83" t="s">
        <v>216</v>
      </c>
      <c r="G47" s="84" t="b">
        <v>1</v>
      </c>
    </row>
    <row r="48" spans="1:7" hidden="1" x14ac:dyDescent="0.25">
      <c r="A48" s="85" t="s">
        <v>206</v>
      </c>
      <c r="B48" s="85" t="s">
        <v>27</v>
      </c>
      <c r="C48" s="85"/>
      <c r="D48" s="85"/>
      <c r="E48" s="113"/>
      <c r="F48" s="83" t="s">
        <v>217</v>
      </c>
      <c r="G48" s="84" t="b">
        <v>0</v>
      </c>
    </row>
    <row r="49" spans="1:7" hidden="1" x14ac:dyDescent="0.25">
      <c r="A49" s="85" t="s">
        <v>112</v>
      </c>
      <c r="B49" s="85" t="s">
        <v>60</v>
      </c>
      <c r="C49" s="85"/>
      <c r="D49" s="85"/>
      <c r="E49" s="113"/>
      <c r="F49" s="83" t="s">
        <v>217</v>
      </c>
      <c r="G49" s="84" t="b">
        <v>1</v>
      </c>
    </row>
    <row r="50" spans="1:7" hidden="1" x14ac:dyDescent="0.25">
      <c r="A50" s="83" t="s">
        <v>72</v>
      </c>
      <c r="B50" s="85" t="s">
        <v>26</v>
      </c>
      <c r="C50" s="85"/>
      <c r="D50" s="85"/>
      <c r="E50" s="113"/>
      <c r="F50" s="83" t="s">
        <v>216</v>
      </c>
      <c r="G50" s="84" t="b">
        <v>1</v>
      </c>
    </row>
    <row r="51" spans="1:7" hidden="1" x14ac:dyDescent="0.25">
      <c r="A51" s="85" t="s">
        <v>102</v>
      </c>
      <c r="B51" s="85" t="s">
        <v>54</v>
      </c>
      <c r="C51" s="85"/>
      <c r="D51" s="85"/>
      <c r="E51" s="113"/>
      <c r="F51" s="83" t="s">
        <v>217</v>
      </c>
      <c r="G51" s="84" t="b">
        <v>1</v>
      </c>
    </row>
    <row r="52" spans="1:7" hidden="1" x14ac:dyDescent="0.25">
      <c r="A52" s="85" t="s">
        <v>104</v>
      </c>
      <c r="B52" s="85" t="s">
        <v>205</v>
      </c>
      <c r="C52" s="85"/>
      <c r="D52" s="85"/>
      <c r="E52" s="113"/>
      <c r="F52" s="83" t="s">
        <v>217</v>
      </c>
      <c r="G52" s="84" t="b">
        <v>1</v>
      </c>
    </row>
    <row r="53" spans="1:7" x14ac:dyDescent="0.25">
      <c r="A53" s="85" t="s">
        <v>161</v>
      </c>
      <c r="B53" s="85" t="s">
        <v>54</v>
      </c>
      <c r="C53" s="85"/>
      <c r="D53" s="85"/>
      <c r="E53" s="113"/>
      <c r="F53" s="83" t="s">
        <v>218</v>
      </c>
      <c r="G53" s="84" t="b">
        <v>1</v>
      </c>
    </row>
    <row r="54" spans="1:7" hidden="1" x14ac:dyDescent="0.25">
      <c r="A54" s="83" t="s">
        <v>118</v>
      </c>
      <c r="B54" s="85" t="s">
        <v>117</v>
      </c>
      <c r="C54" s="85"/>
      <c r="D54" s="85"/>
      <c r="E54" s="113"/>
      <c r="F54" s="83" t="s">
        <v>216</v>
      </c>
      <c r="G54" s="84" t="b">
        <v>1</v>
      </c>
    </row>
    <row r="55" spans="1:7" hidden="1" x14ac:dyDescent="0.25">
      <c r="A55" s="83" t="s">
        <v>174</v>
      </c>
      <c r="B55" s="85" t="s">
        <v>6</v>
      </c>
      <c r="C55" s="85">
        <v>24</v>
      </c>
      <c r="D55" s="85">
        <v>48</v>
      </c>
      <c r="E55" s="113">
        <v>24</v>
      </c>
      <c r="F55" s="83" t="s">
        <v>216</v>
      </c>
      <c r="G55" s="84" t="b">
        <v>1</v>
      </c>
    </row>
    <row r="56" spans="1:7" hidden="1" x14ac:dyDescent="0.25">
      <c r="A56" s="83" t="s">
        <v>146</v>
      </c>
      <c r="B56" s="85" t="s">
        <v>6</v>
      </c>
      <c r="C56" s="85"/>
      <c r="D56" s="85"/>
      <c r="E56" s="113"/>
      <c r="F56" s="83" t="s">
        <v>216</v>
      </c>
      <c r="G56" s="84" t="b">
        <v>0</v>
      </c>
    </row>
    <row r="57" spans="1:7" hidden="1" x14ac:dyDescent="0.25">
      <c r="A57" s="85" t="s">
        <v>63</v>
      </c>
      <c r="B57" s="85" t="s">
        <v>7</v>
      </c>
      <c r="C57" s="85"/>
      <c r="D57" s="85"/>
      <c r="E57" s="113"/>
      <c r="F57" s="83" t="s">
        <v>217</v>
      </c>
      <c r="G57" s="84" t="b">
        <v>1</v>
      </c>
    </row>
    <row r="58" spans="1:7" hidden="1" x14ac:dyDescent="0.25">
      <c r="A58" s="85" t="s">
        <v>137</v>
      </c>
      <c r="B58" s="85" t="s">
        <v>7</v>
      </c>
      <c r="C58" s="85"/>
      <c r="D58" s="85"/>
      <c r="E58" s="113"/>
      <c r="F58" s="83" t="s">
        <v>217</v>
      </c>
      <c r="G58" s="84" t="b">
        <v>0</v>
      </c>
    </row>
    <row r="59" spans="1:7" hidden="1" x14ac:dyDescent="0.25">
      <c r="A59" s="83" t="s">
        <v>91</v>
      </c>
      <c r="B59" s="85" t="s">
        <v>34</v>
      </c>
      <c r="C59" s="85"/>
      <c r="D59" s="85"/>
      <c r="E59" s="113"/>
      <c r="F59" s="83" t="s">
        <v>216</v>
      </c>
      <c r="G59" s="84" t="b">
        <v>1</v>
      </c>
    </row>
    <row r="60" spans="1:7" hidden="1" x14ac:dyDescent="0.25">
      <c r="A60" s="83" t="s">
        <v>88</v>
      </c>
      <c r="B60" s="85" t="s">
        <v>27</v>
      </c>
      <c r="C60" s="85"/>
      <c r="D60" s="85"/>
      <c r="E60" s="113"/>
      <c r="F60" s="83" t="s">
        <v>216</v>
      </c>
      <c r="G60" s="84" t="b">
        <v>1</v>
      </c>
    </row>
    <row r="61" spans="1:7" hidden="1" x14ac:dyDescent="0.25">
      <c r="A61" s="85" t="s">
        <v>141</v>
      </c>
      <c r="B61" s="85" t="s">
        <v>148</v>
      </c>
      <c r="C61" s="85"/>
      <c r="D61" s="85"/>
      <c r="E61" s="113"/>
      <c r="F61" s="83" t="s">
        <v>217</v>
      </c>
      <c r="G61" s="84" t="b">
        <v>1</v>
      </c>
    </row>
    <row r="62" spans="1:7" hidden="1" x14ac:dyDescent="0.25">
      <c r="A62" s="85" t="s">
        <v>75</v>
      </c>
      <c r="B62" s="85" t="s">
        <v>7</v>
      </c>
      <c r="C62" s="85"/>
      <c r="D62" s="85"/>
      <c r="E62" s="113"/>
      <c r="F62" s="83" t="s">
        <v>217</v>
      </c>
      <c r="G62" s="84" t="b">
        <v>1</v>
      </c>
    </row>
    <row r="63" spans="1:7" hidden="1" x14ac:dyDescent="0.25">
      <c r="A63" s="85" t="s">
        <v>21</v>
      </c>
      <c r="B63" s="85" t="s">
        <v>136</v>
      </c>
      <c r="C63" s="85"/>
      <c r="D63" s="85"/>
      <c r="E63" s="113"/>
      <c r="F63" s="83" t="s">
        <v>217</v>
      </c>
      <c r="G63" s="84" t="b">
        <v>1</v>
      </c>
    </row>
    <row r="64" spans="1:7" hidden="1" x14ac:dyDescent="0.25">
      <c r="A64" s="85" t="s">
        <v>225</v>
      </c>
      <c r="B64" s="85" t="s">
        <v>9</v>
      </c>
      <c r="C64" s="85"/>
      <c r="D64" s="85"/>
      <c r="E64" s="113"/>
      <c r="F64" s="83" t="s">
        <v>217</v>
      </c>
      <c r="G64" s="84" t="b">
        <v>1</v>
      </c>
    </row>
    <row r="65" spans="1:7" hidden="1" x14ac:dyDescent="0.25">
      <c r="A65" s="85" t="s">
        <v>226</v>
      </c>
      <c r="B65" s="85" t="s">
        <v>9</v>
      </c>
      <c r="C65" s="85"/>
      <c r="D65" s="85"/>
      <c r="E65" s="113"/>
      <c r="F65" s="83" t="s">
        <v>217</v>
      </c>
      <c r="G65" s="84" t="b">
        <v>1</v>
      </c>
    </row>
    <row r="66" spans="1:7" hidden="1" x14ac:dyDescent="0.25">
      <c r="A66" s="83" t="s">
        <v>122</v>
      </c>
      <c r="B66" s="85" t="s">
        <v>10</v>
      </c>
      <c r="C66" s="85"/>
      <c r="D66" s="85"/>
      <c r="E66" s="113"/>
      <c r="F66" s="83" t="s">
        <v>216</v>
      </c>
      <c r="G66" s="84" t="b">
        <v>1</v>
      </c>
    </row>
    <row r="67" spans="1:7" hidden="1" x14ac:dyDescent="0.25">
      <c r="A67" s="83" t="s">
        <v>126</v>
      </c>
      <c r="B67" s="85" t="s">
        <v>109</v>
      </c>
      <c r="C67" s="85"/>
      <c r="D67" s="85"/>
      <c r="E67" s="113"/>
      <c r="F67" s="83" t="s">
        <v>216</v>
      </c>
      <c r="G67" s="84" t="b">
        <v>1</v>
      </c>
    </row>
    <row r="68" spans="1:7" hidden="1" x14ac:dyDescent="0.25">
      <c r="A68" s="83" t="s">
        <v>159</v>
      </c>
      <c r="B68" s="85" t="s">
        <v>27</v>
      </c>
      <c r="C68" s="85"/>
      <c r="D68" s="85"/>
      <c r="E68" s="113"/>
      <c r="F68" s="83" t="s">
        <v>216</v>
      </c>
      <c r="G68" s="84" t="b">
        <v>1</v>
      </c>
    </row>
    <row r="69" spans="1:7" x14ac:dyDescent="0.25">
      <c r="A69" s="85" t="s">
        <v>209</v>
      </c>
      <c r="B69" s="85" t="s">
        <v>11</v>
      </c>
      <c r="C69" s="85"/>
      <c r="D69" s="85"/>
      <c r="E69" s="113"/>
      <c r="F69" s="83" t="s">
        <v>218</v>
      </c>
      <c r="G69" s="84" t="b">
        <v>1</v>
      </c>
    </row>
    <row r="70" spans="1:7" hidden="1" x14ac:dyDescent="0.25">
      <c r="A70" s="85" t="s">
        <v>50</v>
      </c>
      <c r="B70" s="85" t="s">
        <v>60</v>
      </c>
      <c r="C70" s="85"/>
      <c r="D70" s="85"/>
      <c r="E70" s="113"/>
      <c r="F70" s="83" t="s">
        <v>217</v>
      </c>
      <c r="G70" s="84" t="b">
        <v>0</v>
      </c>
    </row>
    <row r="71" spans="1:7" hidden="1" x14ac:dyDescent="0.25">
      <c r="A71" s="83" t="s">
        <v>20</v>
      </c>
      <c r="B71" s="85" t="s">
        <v>19</v>
      </c>
      <c r="C71" s="85"/>
      <c r="D71" s="85"/>
      <c r="E71" s="113"/>
      <c r="F71" s="83" t="s">
        <v>216</v>
      </c>
      <c r="G71" s="84" t="b">
        <v>1</v>
      </c>
    </row>
    <row r="72" spans="1:7" hidden="1" x14ac:dyDescent="0.25">
      <c r="A72" s="83" t="s">
        <v>18</v>
      </c>
      <c r="B72" s="85" t="s">
        <v>19</v>
      </c>
      <c r="C72" s="85"/>
      <c r="D72" s="85"/>
      <c r="E72" s="113"/>
      <c r="F72" s="83" t="s">
        <v>216</v>
      </c>
      <c r="G72" s="84" t="b">
        <v>1</v>
      </c>
    </row>
    <row r="73" spans="1:7" hidden="1" x14ac:dyDescent="0.25">
      <c r="A73" s="83" t="s">
        <v>30</v>
      </c>
      <c r="B73" s="85" t="s">
        <v>11</v>
      </c>
      <c r="C73" s="85">
        <v>2</v>
      </c>
      <c r="D73" s="85">
        <v>3</v>
      </c>
      <c r="E73" s="113"/>
      <c r="F73" s="83" t="s">
        <v>216</v>
      </c>
      <c r="G73" s="84" t="b">
        <v>1</v>
      </c>
    </row>
    <row r="74" spans="1:7" hidden="1" x14ac:dyDescent="0.25">
      <c r="A74" s="85" t="s">
        <v>132</v>
      </c>
      <c r="B74" s="85" t="s">
        <v>8</v>
      </c>
      <c r="C74" s="85"/>
      <c r="D74" s="85"/>
      <c r="E74" s="113"/>
      <c r="F74" s="83" t="s">
        <v>217</v>
      </c>
      <c r="G74" s="84" t="b">
        <v>1</v>
      </c>
    </row>
    <row r="75" spans="1:7" hidden="1" x14ac:dyDescent="0.25">
      <c r="A75" s="85" t="s">
        <v>145</v>
      </c>
      <c r="B75" s="85" t="s">
        <v>9</v>
      </c>
      <c r="C75" s="85"/>
      <c r="D75" s="85"/>
      <c r="E75" s="113"/>
      <c r="F75" s="83" t="s">
        <v>217</v>
      </c>
      <c r="G75" s="84" t="b">
        <v>1</v>
      </c>
    </row>
    <row r="76" spans="1:7" x14ac:dyDescent="0.25">
      <c r="A76" s="85" t="s">
        <v>212</v>
      </c>
      <c r="B76" s="85" t="s">
        <v>11</v>
      </c>
      <c r="C76" s="85"/>
      <c r="D76" s="85"/>
      <c r="E76" s="113"/>
      <c r="F76" s="83" t="s">
        <v>218</v>
      </c>
      <c r="G76" s="84" t="b">
        <v>1</v>
      </c>
    </row>
    <row r="77" spans="1:7" hidden="1" x14ac:dyDescent="0.25">
      <c r="A77" s="83" t="s">
        <v>177</v>
      </c>
      <c r="B77" s="85" t="s">
        <v>60</v>
      </c>
      <c r="C77" s="85"/>
      <c r="D77" s="85"/>
      <c r="E77" s="113"/>
      <c r="F77" s="83" t="s">
        <v>216</v>
      </c>
      <c r="G77" s="84" t="b">
        <v>1</v>
      </c>
    </row>
    <row r="78" spans="1:7" hidden="1" x14ac:dyDescent="0.25">
      <c r="A78" s="83" t="s">
        <v>144</v>
      </c>
      <c r="B78" s="85" t="s">
        <v>60</v>
      </c>
      <c r="C78" s="85"/>
      <c r="D78" s="85"/>
      <c r="E78" s="113"/>
      <c r="F78" s="83" t="s">
        <v>216</v>
      </c>
      <c r="G78" s="84" t="b">
        <v>1</v>
      </c>
    </row>
    <row r="79" spans="1:7" hidden="1" x14ac:dyDescent="0.25">
      <c r="A79" s="83" t="s">
        <v>73</v>
      </c>
      <c r="B79" s="85" t="s">
        <v>60</v>
      </c>
      <c r="C79" s="85"/>
      <c r="D79" s="85"/>
      <c r="E79" s="113"/>
      <c r="F79" s="83" t="s">
        <v>216</v>
      </c>
      <c r="G79" s="84" t="b">
        <v>1</v>
      </c>
    </row>
    <row r="80" spans="1:7" hidden="1" x14ac:dyDescent="0.25">
      <c r="A80" s="85" t="s">
        <v>87</v>
      </c>
      <c r="B80" s="85" t="s">
        <v>9</v>
      </c>
      <c r="C80" s="85"/>
      <c r="D80" s="85"/>
      <c r="E80" s="113"/>
      <c r="F80" s="83" t="s">
        <v>217</v>
      </c>
      <c r="G80" s="84" t="b">
        <v>1</v>
      </c>
    </row>
    <row r="81" spans="1:7" hidden="1" x14ac:dyDescent="0.25">
      <c r="A81" s="83" t="s">
        <v>152</v>
      </c>
      <c r="B81" s="85" t="s">
        <v>27</v>
      </c>
      <c r="C81" s="85"/>
      <c r="D81" s="85"/>
      <c r="E81" s="113"/>
      <c r="F81" s="83" t="s">
        <v>216</v>
      </c>
      <c r="G81" s="84" t="b">
        <v>1</v>
      </c>
    </row>
    <row r="82" spans="1:7" hidden="1" x14ac:dyDescent="0.25">
      <c r="A82" s="83" t="s">
        <v>116</v>
      </c>
      <c r="B82" s="85" t="s">
        <v>109</v>
      </c>
      <c r="C82" s="85"/>
      <c r="D82" s="85"/>
      <c r="E82" s="113"/>
      <c r="F82" s="83" t="s">
        <v>216</v>
      </c>
      <c r="G82" s="84" t="b">
        <v>1</v>
      </c>
    </row>
    <row r="83" spans="1:7" hidden="1" x14ac:dyDescent="0.25">
      <c r="A83" s="85" t="s">
        <v>163</v>
      </c>
      <c r="B83" s="85" t="s">
        <v>160</v>
      </c>
      <c r="C83" s="85"/>
      <c r="D83" s="85"/>
      <c r="E83" s="113"/>
      <c r="F83" s="83" t="s">
        <v>217</v>
      </c>
      <c r="G83" s="84" t="b">
        <v>1</v>
      </c>
    </row>
    <row r="84" spans="1:7" hidden="1" x14ac:dyDescent="0.25">
      <c r="A84" s="85" t="s">
        <v>55</v>
      </c>
      <c r="B84" s="85" t="s">
        <v>56</v>
      </c>
      <c r="C84" s="85"/>
      <c r="D84" s="85"/>
      <c r="E84" s="113">
        <v>2</v>
      </c>
      <c r="F84" s="83" t="s">
        <v>217</v>
      </c>
      <c r="G84" s="84" t="b">
        <v>1</v>
      </c>
    </row>
    <row r="85" spans="1:7" hidden="1" x14ac:dyDescent="0.25">
      <c r="A85" s="85" t="s">
        <v>85</v>
      </c>
      <c r="B85" s="85" t="s">
        <v>54</v>
      </c>
      <c r="C85" s="85"/>
      <c r="D85" s="85"/>
      <c r="E85" s="113"/>
      <c r="F85" s="83" t="s">
        <v>217</v>
      </c>
      <c r="G85" s="84" t="b">
        <v>1</v>
      </c>
    </row>
    <row r="86" spans="1:7" hidden="1" x14ac:dyDescent="0.25">
      <c r="A86" s="83" t="s">
        <v>189</v>
      </c>
      <c r="B86" s="85" t="s">
        <v>54</v>
      </c>
      <c r="C86" s="85"/>
      <c r="D86" s="85"/>
      <c r="E86" s="113"/>
      <c r="F86" s="83" t="s">
        <v>216</v>
      </c>
      <c r="G86" s="84" t="b">
        <v>1</v>
      </c>
    </row>
    <row r="87" spans="1:7" hidden="1" x14ac:dyDescent="0.25">
      <c r="A87" s="83" t="s">
        <v>197</v>
      </c>
      <c r="B87" s="85" t="s">
        <v>202</v>
      </c>
      <c r="C87" s="85"/>
      <c r="D87" s="85"/>
      <c r="E87" s="113"/>
      <c r="F87" s="83" t="s">
        <v>217</v>
      </c>
      <c r="G87" s="84" t="b">
        <v>1</v>
      </c>
    </row>
    <row r="88" spans="1:7" hidden="1" x14ac:dyDescent="0.25">
      <c r="A88" s="83" t="s">
        <v>66</v>
      </c>
      <c r="B88" s="85" t="s">
        <v>27</v>
      </c>
      <c r="C88" s="85"/>
      <c r="D88" s="85"/>
      <c r="E88" s="113"/>
      <c r="F88" s="83" t="s">
        <v>216</v>
      </c>
      <c r="G88" s="84" t="b">
        <v>1</v>
      </c>
    </row>
    <row r="89" spans="1:7" hidden="1" x14ac:dyDescent="0.25">
      <c r="A89" s="85" t="s">
        <v>67</v>
      </c>
      <c r="B89" s="85" t="s">
        <v>60</v>
      </c>
      <c r="C89" s="85"/>
      <c r="D89" s="85"/>
      <c r="E89" s="113"/>
      <c r="F89" s="83" t="s">
        <v>217</v>
      </c>
      <c r="G89" s="84" t="b">
        <v>1</v>
      </c>
    </row>
    <row r="90" spans="1:7" hidden="1" x14ac:dyDescent="0.25">
      <c r="A90" s="85" t="s">
        <v>80</v>
      </c>
      <c r="B90" s="85" t="s">
        <v>9</v>
      </c>
      <c r="C90" s="85"/>
      <c r="D90" s="85"/>
      <c r="E90" s="113"/>
      <c r="F90" s="83" t="s">
        <v>217</v>
      </c>
      <c r="G90" s="84" t="b">
        <v>1</v>
      </c>
    </row>
    <row r="91" spans="1:7" hidden="1" x14ac:dyDescent="0.25">
      <c r="A91" s="85" t="s">
        <v>120</v>
      </c>
      <c r="B91" s="85" t="s">
        <v>121</v>
      </c>
      <c r="C91" s="85"/>
      <c r="D91" s="85"/>
      <c r="E91" s="113"/>
      <c r="F91" s="83" t="s">
        <v>217</v>
      </c>
      <c r="G91" s="84" t="b">
        <v>1</v>
      </c>
    </row>
    <row r="92" spans="1:7" hidden="1" x14ac:dyDescent="0.25">
      <c r="A92" s="83" t="s">
        <v>46</v>
      </c>
      <c r="B92" s="85" t="s">
        <v>10</v>
      </c>
      <c r="C92" s="85"/>
      <c r="D92" s="85"/>
      <c r="E92" s="113"/>
      <c r="F92" s="83" t="s">
        <v>216</v>
      </c>
      <c r="G92" s="84" t="b">
        <v>1</v>
      </c>
    </row>
    <row r="93" spans="1:7" hidden="1" x14ac:dyDescent="0.25">
      <c r="A93" s="83" t="s">
        <v>13</v>
      </c>
      <c r="B93" s="85" t="s">
        <v>6</v>
      </c>
      <c r="C93" s="85"/>
      <c r="D93" s="85"/>
      <c r="E93" s="113">
        <v>10</v>
      </c>
      <c r="F93" s="83" t="s">
        <v>216</v>
      </c>
      <c r="G93" s="84" t="b">
        <v>1</v>
      </c>
    </row>
    <row r="94" spans="1:7" hidden="1" x14ac:dyDescent="0.25">
      <c r="A94" s="83" t="s">
        <v>124</v>
      </c>
      <c r="B94" s="85" t="s">
        <v>60</v>
      </c>
      <c r="C94" s="85"/>
      <c r="D94" s="85"/>
      <c r="E94" s="113"/>
      <c r="F94" s="83" t="s">
        <v>216</v>
      </c>
      <c r="G94" s="84" t="b">
        <v>1</v>
      </c>
    </row>
    <row r="95" spans="1:7" hidden="1" x14ac:dyDescent="0.25">
      <c r="A95" s="85" t="s">
        <v>113</v>
      </c>
      <c r="B95" s="85" t="s">
        <v>129</v>
      </c>
      <c r="C95" s="85"/>
      <c r="D95" s="85"/>
      <c r="E95" s="113"/>
      <c r="F95" s="83" t="s">
        <v>217</v>
      </c>
      <c r="G95" s="84" t="b">
        <v>1</v>
      </c>
    </row>
    <row r="96" spans="1:7" hidden="1" x14ac:dyDescent="0.25">
      <c r="A96" s="83" t="s">
        <v>192</v>
      </c>
      <c r="B96" s="85" t="s">
        <v>9</v>
      </c>
      <c r="C96" s="85"/>
      <c r="D96" s="85"/>
      <c r="E96" s="113"/>
      <c r="F96" s="83" t="s">
        <v>216</v>
      </c>
      <c r="G96" s="84" t="b">
        <v>1</v>
      </c>
    </row>
    <row r="97" spans="1:7" hidden="1" x14ac:dyDescent="0.25">
      <c r="A97" s="83" t="s">
        <v>184</v>
      </c>
      <c r="B97" s="85" t="s">
        <v>11</v>
      </c>
      <c r="C97" s="85"/>
      <c r="D97" s="85"/>
      <c r="E97" s="113"/>
      <c r="F97" s="83" t="s">
        <v>216</v>
      </c>
      <c r="G97" s="84" t="b">
        <v>1</v>
      </c>
    </row>
    <row r="98" spans="1:7" hidden="1" x14ac:dyDescent="0.25">
      <c r="A98" s="83" t="s">
        <v>188</v>
      </c>
      <c r="B98" s="85" t="s">
        <v>54</v>
      </c>
      <c r="C98" s="85"/>
      <c r="D98" s="85"/>
      <c r="E98" s="113"/>
      <c r="F98" s="83" t="s">
        <v>216</v>
      </c>
      <c r="G98" s="84" t="b">
        <v>1</v>
      </c>
    </row>
    <row r="99" spans="1:7" hidden="1" x14ac:dyDescent="0.25">
      <c r="A99" s="83" t="s">
        <v>61</v>
      </c>
      <c r="B99" s="85" t="s">
        <v>62</v>
      </c>
      <c r="C99" s="85"/>
      <c r="D99" s="85"/>
      <c r="E99" s="113">
        <v>3</v>
      </c>
      <c r="F99" s="83" t="s">
        <v>216</v>
      </c>
      <c r="G99" s="84" t="b">
        <v>1</v>
      </c>
    </row>
    <row r="100" spans="1:7" hidden="1" x14ac:dyDescent="0.25">
      <c r="A100" s="83" t="s">
        <v>47</v>
      </c>
      <c r="B100" s="85" t="s">
        <v>180</v>
      </c>
      <c r="C100" s="85"/>
      <c r="D100" s="85"/>
      <c r="E100" s="113"/>
      <c r="F100" s="83" t="s">
        <v>216</v>
      </c>
      <c r="G100" s="84" t="b">
        <v>1</v>
      </c>
    </row>
    <row r="101" spans="1:7" hidden="1" x14ac:dyDescent="0.25">
      <c r="A101" s="83" t="s">
        <v>58</v>
      </c>
      <c r="B101" s="85" t="s">
        <v>59</v>
      </c>
      <c r="C101" s="85">
        <v>2</v>
      </c>
      <c r="D101" s="85">
        <v>4</v>
      </c>
      <c r="E101" s="113"/>
      <c r="F101" s="83" t="s">
        <v>216</v>
      </c>
      <c r="G101" s="84" t="b">
        <v>1</v>
      </c>
    </row>
    <row r="102" spans="1:7" hidden="1" x14ac:dyDescent="0.25">
      <c r="A102" s="85" t="s">
        <v>154</v>
      </c>
      <c r="B102" s="85" t="s">
        <v>7</v>
      </c>
      <c r="C102" s="85"/>
      <c r="D102" s="85"/>
      <c r="E102" s="113"/>
      <c r="F102" s="83" t="s">
        <v>216</v>
      </c>
      <c r="G102" s="84" t="b">
        <v>1</v>
      </c>
    </row>
    <row r="103" spans="1:7" hidden="1" x14ac:dyDescent="0.25">
      <c r="A103" s="85" t="s">
        <v>110</v>
      </c>
      <c r="B103" s="85" t="s">
        <v>7</v>
      </c>
      <c r="C103" s="85"/>
      <c r="D103" s="85"/>
      <c r="E103" s="113">
        <v>1</v>
      </c>
      <c r="F103" s="83" t="s">
        <v>216</v>
      </c>
      <c r="G103" s="84" t="b">
        <v>1</v>
      </c>
    </row>
    <row r="104" spans="1:7" hidden="1" x14ac:dyDescent="0.25">
      <c r="A104" s="85" t="s">
        <v>108</v>
      </c>
      <c r="B104" s="85" t="s">
        <v>54</v>
      </c>
      <c r="C104" s="85"/>
      <c r="D104" s="85"/>
      <c r="E104" s="113"/>
      <c r="F104" s="83" t="s">
        <v>217</v>
      </c>
      <c r="G104" s="84" t="b">
        <v>0</v>
      </c>
    </row>
    <row r="105" spans="1:7" hidden="1" x14ac:dyDescent="0.25">
      <c r="A105" s="85" t="s">
        <v>76</v>
      </c>
      <c r="B105" s="85" t="s">
        <v>7</v>
      </c>
      <c r="C105" s="85"/>
      <c r="D105" s="85"/>
      <c r="E105" s="113"/>
      <c r="F105" s="83" t="s">
        <v>217</v>
      </c>
      <c r="G105" s="84" t="b">
        <v>0</v>
      </c>
    </row>
    <row r="106" spans="1:7" hidden="1" x14ac:dyDescent="0.25">
      <c r="A106" s="85" t="s">
        <v>49</v>
      </c>
      <c r="B106" s="85" t="s">
        <v>60</v>
      </c>
      <c r="C106" s="85"/>
      <c r="D106" s="85"/>
      <c r="E106" s="113"/>
      <c r="F106" s="83" t="s">
        <v>217</v>
      </c>
      <c r="G106" s="84" t="b">
        <v>0</v>
      </c>
    </row>
    <row r="107" spans="1:7" x14ac:dyDescent="0.25">
      <c r="A107" s="85" t="s">
        <v>207</v>
      </c>
      <c r="B107" s="85" t="s">
        <v>208</v>
      </c>
      <c r="C107" s="85"/>
      <c r="D107" s="85"/>
      <c r="E107" s="113"/>
      <c r="F107" s="83" t="s">
        <v>218</v>
      </c>
      <c r="G107" s="84" t="b">
        <v>1</v>
      </c>
    </row>
    <row r="108" spans="1:7" hidden="1" x14ac:dyDescent="0.25">
      <c r="A108" s="85" t="s">
        <v>103</v>
      </c>
      <c r="B108" s="85" t="s">
        <v>60</v>
      </c>
      <c r="C108" s="85"/>
      <c r="D108" s="85"/>
      <c r="E108" s="113"/>
      <c r="F108" s="83" t="s">
        <v>217</v>
      </c>
      <c r="G108" s="84" t="b">
        <v>0</v>
      </c>
    </row>
    <row r="109" spans="1:7" hidden="1" x14ac:dyDescent="0.25">
      <c r="A109" s="85" t="s">
        <v>119</v>
      </c>
      <c r="B109" s="85" t="s">
        <v>8</v>
      </c>
      <c r="C109" s="85"/>
      <c r="D109" s="85"/>
      <c r="E109" s="113"/>
      <c r="F109" s="83" t="s">
        <v>217</v>
      </c>
      <c r="G109" s="84" t="b">
        <v>1</v>
      </c>
    </row>
    <row r="110" spans="1:7" hidden="1" x14ac:dyDescent="0.25">
      <c r="A110" s="85" t="s">
        <v>106</v>
      </c>
      <c r="B110" s="85" t="s">
        <v>8</v>
      </c>
      <c r="C110" s="85"/>
      <c r="D110" s="85"/>
      <c r="E110" s="113"/>
      <c r="F110" s="83" t="s">
        <v>217</v>
      </c>
      <c r="G110" s="84" t="b">
        <v>1</v>
      </c>
    </row>
    <row r="111" spans="1:7" hidden="1" x14ac:dyDescent="0.25">
      <c r="A111" s="85" t="s">
        <v>119</v>
      </c>
      <c r="B111" s="85" t="s">
        <v>7</v>
      </c>
      <c r="C111" s="85"/>
      <c r="D111" s="85"/>
      <c r="E111" s="113"/>
      <c r="F111" s="83" t="s">
        <v>217</v>
      </c>
      <c r="G111" s="84" t="b">
        <v>0</v>
      </c>
    </row>
    <row r="112" spans="1:7" hidden="1" x14ac:dyDescent="0.25">
      <c r="A112" s="83" t="s">
        <v>69</v>
      </c>
      <c r="B112" s="85" t="s">
        <v>54</v>
      </c>
      <c r="C112" s="85"/>
      <c r="D112" s="85"/>
      <c r="E112" s="113"/>
      <c r="F112" s="83" t="s">
        <v>216</v>
      </c>
      <c r="G112" s="84" t="b">
        <v>1</v>
      </c>
    </row>
    <row r="113" spans="1:7" hidden="1" x14ac:dyDescent="0.25">
      <c r="A113" s="83" t="s">
        <v>186</v>
      </c>
      <c r="B113" s="85" t="s">
        <v>7</v>
      </c>
      <c r="C113" s="85"/>
      <c r="D113" s="85"/>
      <c r="E113" s="113"/>
      <c r="F113" s="83" t="s">
        <v>216</v>
      </c>
      <c r="G113" s="84" t="b">
        <v>1</v>
      </c>
    </row>
    <row r="114" spans="1:7" hidden="1" x14ac:dyDescent="0.25">
      <c r="A114" s="83" t="s">
        <v>53</v>
      </c>
      <c r="B114" s="85" t="s">
        <v>54</v>
      </c>
      <c r="C114" s="85"/>
      <c r="D114" s="85"/>
      <c r="E114" s="113"/>
      <c r="F114" s="83" t="s">
        <v>216</v>
      </c>
      <c r="G114" s="84" t="b">
        <v>1</v>
      </c>
    </row>
    <row r="115" spans="1:7" hidden="1" x14ac:dyDescent="0.25">
      <c r="A115" s="85" t="s">
        <v>227</v>
      </c>
      <c r="B115" s="85" t="s">
        <v>10</v>
      </c>
      <c r="C115" s="85"/>
      <c r="D115" s="85"/>
      <c r="E115" s="113"/>
      <c r="F115" s="83" t="s">
        <v>217</v>
      </c>
      <c r="G115" s="84" t="b">
        <v>0</v>
      </c>
    </row>
    <row r="116" spans="1:7" hidden="1" x14ac:dyDescent="0.25">
      <c r="A116" s="83" t="s">
        <v>98</v>
      </c>
      <c r="B116" s="85" t="s">
        <v>60</v>
      </c>
      <c r="C116" s="85"/>
      <c r="D116" s="85"/>
      <c r="E116" s="113"/>
      <c r="F116" s="83" t="s">
        <v>217</v>
      </c>
      <c r="G116" s="84" t="b">
        <v>1</v>
      </c>
    </row>
    <row r="117" spans="1:7" hidden="1" x14ac:dyDescent="0.25">
      <c r="A117" s="83" t="s">
        <v>195</v>
      </c>
      <c r="B117" s="85" t="s">
        <v>196</v>
      </c>
      <c r="C117" s="85"/>
      <c r="D117" s="85"/>
      <c r="E117" s="113"/>
      <c r="F117" s="83" t="s">
        <v>216</v>
      </c>
      <c r="G117" s="84" t="b">
        <v>1</v>
      </c>
    </row>
    <row r="118" spans="1:7" hidden="1" x14ac:dyDescent="0.25">
      <c r="A118" s="83" t="s">
        <v>166</v>
      </c>
      <c r="B118" s="85" t="s">
        <v>93</v>
      </c>
      <c r="C118" s="85"/>
      <c r="D118" s="85"/>
      <c r="E118" s="113"/>
      <c r="F118" s="83" t="s">
        <v>216</v>
      </c>
      <c r="G118" s="84" t="b">
        <v>1</v>
      </c>
    </row>
    <row r="119" spans="1:7" hidden="1" x14ac:dyDescent="0.25">
      <c r="A119" s="85" t="s">
        <v>74</v>
      </c>
      <c r="B119" s="85" t="s">
        <v>8</v>
      </c>
      <c r="C119" s="85"/>
      <c r="D119" s="85"/>
      <c r="E119" s="113"/>
      <c r="F119" s="83" t="s">
        <v>217</v>
      </c>
      <c r="G119" s="84" t="b">
        <v>1</v>
      </c>
    </row>
    <row r="120" spans="1:7" hidden="1" x14ac:dyDescent="0.25">
      <c r="A120" s="85" t="s">
        <v>43</v>
      </c>
      <c r="B120" s="85" t="s">
        <v>44</v>
      </c>
      <c r="C120" s="85"/>
      <c r="D120" s="85"/>
      <c r="E120" s="113"/>
      <c r="F120" s="83" t="s">
        <v>216</v>
      </c>
      <c r="G120" s="84" t="b">
        <v>1</v>
      </c>
    </row>
    <row r="121" spans="1:7" hidden="1" x14ac:dyDescent="0.25">
      <c r="A121" s="83" t="s">
        <v>183</v>
      </c>
      <c r="B121" s="85" t="s">
        <v>11</v>
      </c>
      <c r="C121" s="85"/>
      <c r="D121" s="85"/>
      <c r="E121" s="113"/>
      <c r="F121" s="83" t="s">
        <v>216</v>
      </c>
      <c r="G121" s="84" t="b">
        <v>1</v>
      </c>
    </row>
    <row r="122" spans="1:7" hidden="1" x14ac:dyDescent="0.25">
      <c r="A122" s="85" t="s">
        <v>127</v>
      </c>
      <c r="B122" s="85" t="s">
        <v>128</v>
      </c>
      <c r="C122" s="85"/>
      <c r="D122" s="85"/>
      <c r="E122" s="113"/>
      <c r="F122" s="83" t="s">
        <v>217</v>
      </c>
      <c r="G122" s="84" t="b">
        <v>1</v>
      </c>
    </row>
    <row r="123" spans="1:7" hidden="1" x14ac:dyDescent="0.25">
      <c r="A123" s="83" t="s">
        <v>181</v>
      </c>
      <c r="B123" s="85" t="s">
        <v>10</v>
      </c>
      <c r="C123" s="85"/>
      <c r="D123" s="85"/>
      <c r="E123" s="113"/>
      <c r="F123" s="83" t="s">
        <v>216</v>
      </c>
      <c r="G123" s="84" t="b">
        <v>1</v>
      </c>
    </row>
    <row r="124" spans="1:7" hidden="1" x14ac:dyDescent="0.25">
      <c r="A124" s="83" t="s">
        <v>142</v>
      </c>
      <c r="B124" s="85" t="s">
        <v>109</v>
      </c>
      <c r="C124" s="85"/>
      <c r="D124" s="85"/>
      <c r="E124" s="113"/>
      <c r="F124" s="83" t="s">
        <v>216</v>
      </c>
      <c r="G124" s="84" t="b">
        <v>1</v>
      </c>
    </row>
    <row r="125" spans="1:7" hidden="1" x14ac:dyDescent="0.25">
      <c r="A125" s="85" t="s">
        <v>169</v>
      </c>
      <c r="B125" s="85" t="s">
        <v>170</v>
      </c>
      <c r="C125" s="85"/>
      <c r="D125" s="85"/>
      <c r="E125" s="113">
        <v>4</v>
      </c>
      <c r="F125" s="83" t="s">
        <v>217</v>
      </c>
      <c r="G125" s="84" t="b">
        <v>1</v>
      </c>
    </row>
    <row r="126" spans="1:7" hidden="1" x14ac:dyDescent="0.25">
      <c r="A126" s="83" t="s">
        <v>179</v>
      </c>
      <c r="B126" s="85" t="s">
        <v>27</v>
      </c>
      <c r="C126" s="85"/>
      <c r="D126" s="85"/>
      <c r="E126" s="113"/>
      <c r="F126" s="83" t="s">
        <v>216</v>
      </c>
      <c r="G126" s="84" t="b">
        <v>1</v>
      </c>
    </row>
    <row r="127" spans="1:7" hidden="1" x14ac:dyDescent="0.25">
      <c r="A127" s="83" t="s">
        <v>33</v>
      </c>
      <c r="B127" s="85" t="s">
        <v>34</v>
      </c>
      <c r="C127" s="85"/>
      <c r="D127" s="85"/>
      <c r="E127" s="113"/>
      <c r="F127" s="83" t="s">
        <v>216</v>
      </c>
      <c r="G127" s="84" t="b">
        <v>1</v>
      </c>
    </row>
    <row r="128" spans="1:7" hidden="1" x14ac:dyDescent="0.25">
      <c r="A128" s="83" t="s">
        <v>182</v>
      </c>
      <c r="B128" s="85" t="s">
        <v>54</v>
      </c>
      <c r="C128" s="85"/>
      <c r="D128" s="85"/>
      <c r="E128" s="113"/>
      <c r="F128" s="83" t="s">
        <v>216</v>
      </c>
      <c r="G128" s="84" t="b">
        <v>1</v>
      </c>
    </row>
    <row r="129" spans="1:7" hidden="1" x14ac:dyDescent="0.25">
      <c r="A129" s="85" t="s">
        <v>143</v>
      </c>
      <c r="B129" s="85" t="s">
        <v>7</v>
      </c>
      <c r="C129" s="85"/>
      <c r="D129" s="85"/>
      <c r="E129" s="113"/>
      <c r="F129" s="83" t="s">
        <v>217</v>
      </c>
      <c r="G129" s="84" t="b">
        <v>1</v>
      </c>
    </row>
    <row r="130" spans="1:7" hidden="1" x14ac:dyDescent="0.25">
      <c r="A130" s="85" t="s">
        <v>86</v>
      </c>
      <c r="B130" s="85" t="s">
        <v>8</v>
      </c>
      <c r="C130" s="85"/>
      <c r="D130" s="85"/>
      <c r="E130" s="113"/>
      <c r="F130" s="83" t="s">
        <v>217</v>
      </c>
      <c r="G130" s="84" t="b">
        <v>1</v>
      </c>
    </row>
    <row r="131" spans="1:7" hidden="1" x14ac:dyDescent="0.25">
      <c r="A131" s="85" t="s">
        <v>125</v>
      </c>
      <c r="B131" s="85" t="s">
        <v>7</v>
      </c>
      <c r="C131" s="85"/>
      <c r="D131" s="85"/>
      <c r="E131" s="113"/>
      <c r="F131" s="83" t="s">
        <v>217</v>
      </c>
      <c r="G131" s="84" t="b">
        <v>1</v>
      </c>
    </row>
    <row r="132" spans="1:7" hidden="1" x14ac:dyDescent="0.25">
      <c r="A132" s="85" t="s">
        <v>138</v>
      </c>
      <c r="B132" s="85" t="s">
        <v>7</v>
      </c>
      <c r="C132" s="85"/>
      <c r="D132" s="85"/>
      <c r="E132" s="113"/>
      <c r="F132" s="83" t="s">
        <v>217</v>
      </c>
      <c r="G132" s="84" t="b">
        <v>1</v>
      </c>
    </row>
    <row r="133" spans="1:7" hidden="1" x14ac:dyDescent="0.25">
      <c r="A133" s="85" t="s">
        <v>77</v>
      </c>
      <c r="B133" s="85" t="s">
        <v>60</v>
      </c>
      <c r="C133" s="85"/>
      <c r="D133" s="85"/>
      <c r="E133" s="113"/>
      <c r="F133" s="83" t="s">
        <v>217</v>
      </c>
      <c r="G133" s="84" t="b">
        <v>1</v>
      </c>
    </row>
    <row r="134" spans="1:7" hidden="1" x14ac:dyDescent="0.25">
      <c r="A134" s="83" t="s">
        <v>52</v>
      </c>
      <c r="B134" s="85" t="s">
        <v>11</v>
      </c>
      <c r="C134" s="85">
        <v>1</v>
      </c>
      <c r="D134" s="85">
        <v>2</v>
      </c>
      <c r="E134" s="113"/>
      <c r="F134" s="83" t="s">
        <v>216</v>
      </c>
      <c r="G134" s="84" t="b">
        <v>1</v>
      </c>
    </row>
    <row r="135" spans="1:7" hidden="1" x14ac:dyDescent="0.25">
      <c r="A135" s="85" t="s">
        <v>100</v>
      </c>
      <c r="B135" s="85" t="s">
        <v>7</v>
      </c>
      <c r="C135" s="85"/>
      <c r="D135" s="85"/>
      <c r="E135" s="113"/>
      <c r="F135" s="83" t="s">
        <v>217</v>
      </c>
      <c r="G135" s="84" t="b">
        <v>1</v>
      </c>
    </row>
    <row r="136" spans="1:7" hidden="1" x14ac:dyDescent="0.25">
      <c r="A136" s="83" t="s">
        <v>70</v>
      </c>
      <c r="B136" s="85" t="s">
        <v>202</v>
      </c>
      <c r="C136" s="85"/>
      <c r="D136" s="85"/>
      <c r="E136" s="113"/>
      <c r="F136" s="83" t="s">
        <v>216</v>
      </c>
      <c r="G136" s="84" t="b">
        <v>1</v>
      </c>
    </row>
    <row r="137" spans="1:7" hidden="1" x14ac:dyDescent="0.25">
      <c r="A137" s="85" t="s">
        <v>229</v>
      </c>
      <c r="B137" s="85" t="s">
        <v>54</v>
      </c>
      <c r="C137" s="85"/>
      <c r="D137" s="85"/>
      <c r="E137" s="113">
        <v>3</v>
      </c>
      <c r="F137" s="83" t="s">
        <v>217</v>
      </c>
      <c r="G137" s="84" t="b">
        <v>1</v>
      </c>
    </row>
    <row r="138" spans="1:7" hidden="1" x14ac:dyDescent="0.25">
      <c r="A138" s="83" t="s">
        <v>111</v>
      </c>
      <c r="B138" s="85" t="s">
        <v>60</v>
      </c>
      <c r="C138" s="85"/>
      <c r="D138" s="85"/>
      <c r="E138" s="113"/>
      <c r="F138" s="83" t="s">
        <v>216</v>
      </c>
      <c r="G138" s="84" t="b">
        <v>1</v>
      </c>
    </row>
    <row r="139" spans="1:7" hidden="1" x14ac:dyDescent="0.25">
      <c r="A139" s="83" t="s">
        <v>133</v>
      </c>
      <c r="B139" s="85" t="s">
        <v>27</v>
      </c>
      <c r="C139" s="85"/>
      <c r="D139" s="85"/>
      <c r="E139" s="113"/>
      <c r="F139" s="83" t="s">
        <v>217</v>
      </c>
      <c r="G139" s="84" t="b">
        <v>1</v>
      </c>
    </row>
    <row r="140" spans="1:7" hidden="1" x14ac:dyDescent="0.25">
      <c r="A140" s="83" t="s">
        <v>92</v>
      </c>
      <c r="B140" s="85" t="s">
        <v>27</v>
      </c>
      <c r="C140" s="85"/>
      <c r="D140" s="85"/>
      <c r="E140" s="113"/>
      <c r="F140" s="83" t="s">
        <v>216</v>
      </c>
      <c r="G140" s="84" t="b">
        <v>1</v>
      </c>
    </row>
    <row r="141" spans="1:7" x14ac:dyDescent="0.25">
      <c r="A141" s="85" t="s">
        <v>168</v>
      </c>
      <c r="B141" s="85" t="s">
        <v>54</v>
      </c>
      <c r="C141" s="85"/>
      <c r="D141" s="85"/>
      <c r="E141" s="113"/>
      <c r="F141" s="83" t="s">
        <v>218</v>
      </c>
      <c r="G141" s="84" t="b">
        <v>1</v>
      </c>
    </row>
    <row r="142" spans="1:7" hidden="1" x14ac:dyDescent="0.25">
      <c r="A142" s="83" t="s">
        <v>187</v>
      </c>
      <c r="B142" s="85" t="s">
        <v>26</v>
      </c>
      <c r="C142" s="85"/>
      <c r="D142" s="85"/>
      <c r="E142" s="113"/>
      <c r="F142" s="83" t="s">
        <v>216</v>
      </c>
      <c r="G142" s="84" t="b">
        <v>1</v>
      </c>
    </row>
    <row r="143" spans="1:7" hidden="1" x14ac:dyDescent="0.25">
      <c r="A143" s="83" t="s">
        <v>191</v>
      </c>
      <c r="B143" s="85" t="s">
        <v>9</v>
      </c>
      <c r="C143" s="85"/>
      <c r="D143" s="85"/>
      <c r="E143" s="113"/>
      <c r="F143" s="83" t="s">
        <v>216</v>
      </c>
      <c r="G143" s="84" t="b">
        <v>1</v>
      </c>
    </row>
    <row r="144" spans="1:7" hidden="1" x14ac:dyDescent="0.25">
      <c r="A144" s="85" t="s">
        <v>228</v>
      </c>
      <c r="B144" s="85" t="s">
        <v>54</v>
      </c>
      <c r="C144" s="85"/>
      <c r="D144" s="85"/>
      <c r="E144" s="113"/>
      <c r="F144" s="83" t="s">
        <v>217</v>
      </c>
      <c r="G144" s="84" t="b">
        <v>1</v>
      </c>
    </row>
    <row r="145" spans="1:7" hidden="1" x14ac:dyDescent="0.25">
      <c r="A145" s="85" t="s">
        <v>78</v>
      </c>
      <c r="B145" s="85" t="s">
        <v>79</v>
      </c>
      <c r="C145" s="85"/>
      <c r="D145" s="85"/>
      <c r="E145" s="113"/>
      <c r="F145" s="83" t="s">
        <v>217</v>
      </c>
      <c r="G145" s="84" t="b">
        <v>1</v>
      </c>
    </row>
    <row r="146" spans="1:7" hidden="1" x14ac:dyDescent="0.25">
      <c r="A146" s="85" t="s">
        <v>140</v>
      </c>
      <c r="B146" s="85" t="s">
        <v>8</v>
      </c>
      <c r="C146" s="85"/>
      <c r="D146" s="85"/>
      <c r="E146" s="113"/>
      <c r="F146" s="83" t="s">
        <v>216</v>
      </c>
      <c r="G146" s="84" t="b">
        <v>1</v>
      </c>
    </row>
    <row r="147" spans="1:7" hidden="1" x14ac:dyDescent="0.25">
      <c r="A147" s="83" t="s">
        <v>175</v>
      </c>
      <c r="B147" s="85" t="s">
        <v>176</v>
      </c>
      <c r="C147" s="85">
        <v>2</v>
      </c>
      <c r="D147" s="85">
        <v>4</v>
      </c>
      <c r="E147" s="113"/>
      <c r="F147" s="83" t="s">
        <v>216</v>
      </c>
      <c r="G147" s="84" t="b">
        <v>1</v>
      </c>
    </row>
    <row r="148" spans="1:7" hidden="1" x14ac:dyDescent="0.25">
      <c r="A148" s="83" t="s">
        <v>150</v>
      </c>
      <c r="B148" s="85" t="s">
        <v>151</v>
      </c>
      <c r="C148" s="85"/>
      <c r="D148" s="85"/>
      <c r="E148" s="113"/>
      <c r="F148" s="83" t="s">
        <v>216</v>
      </c>
      <c r="G148" s="84" t="b">
        <v>1</v>
      </c>
    </row>
    <row r="149" spans="1:7" hidden="1" x14ac:dyDescent="0.25">
      <c r="A149" s="83" t="s">
        <v>97</v>
      </c>
      <c r="B149" s="85" t="s">
        <v>10</v>
      </c>
      <c r="C149" s="85"/>
      <c r="D149" s="85"/>
      <c r="E149" s="113"/>
      <c r="F149" s="83" t="s">
        <v>216</v>
      </c>
      <c r="G149" s="84" t="b">
        <v>1</v>
      </c>
    </row>
    <row r="150" spans="1:7" hidden="1" x14ac:dyDescent="0.25">
      <c r="A150" s="83" t="s">
        <v>114</v>
      </c>
      <c r="B150" s="85" t="s">
        <v>26</v>
      </c>
      <c r="C150" s="85"/>
      <c r="D150" s="85"/>
      <c r="E150" s="113"/>
      <c r="F150" s="83" t="s">
        <v>216</v>
      </c>
      <c r="G150" s="84" t="b">
        <v>1</v>
      </c>
    </row>
    <row r="151" spans="1:7" hidden="1" x14ac:dyDescent="0.25">
      <c r="A151" s="85" t="s">
        <v>81</v>
      </c>
      <c r="B151" s="85" t="s">
        <v>82</v>
      </c>
      <c r="C151" s="85"/>
      <c r="D151" s="85"/>
      <c r="E151" s="113"/>
      <c r="F151" s="83" t="s">
        <v>217</v>
      </c>
      <c r="G151" s="84" t="b">
        <v>1</v>
      </c>
    </row>
    <row r="152" spans="1:7" hidden="1" x14ac:dyDescent="0.25">
      <c r="A152" s="83" t="s">
        <v>201</v>
      </c>
      <c r="B152" s="85" t="s">
        <v>10</v>
      </c>
      <c r="C152" s="85"/>
      <c r="D152" s="85"/>
      <c r="E152" s="113"/>
      <c r="F152" s="83" t="s">
        <v>216</v>
      </c>
      <c r="G152" s="84" t="b">
        <v>1</v>
      </c>
    </row>
    <row r="153" spans="1:7" hidden="1" x14ac:dyDescent="0.25">
      <c r="A153" s="85" t="s">
        <v>90</v>
      </c>
      <c r="B153" s="85" t="s">
        <v>26</v>
      </c>
      <c r="C153" s="85"/>
      <c r="D153" s="85"/>
      <c r="E153" s="113"/>
      <c r="F153" s="83" t="s">
        <v>216</v>
      </c>
      <c r="G153" s="84" t="b">
        <v>0</v>
      </c>
    </row>
    <row r="154" spans="1:7" hidden="1" x14ac:dyDescent="0.25">
      <c r="A154" s="83" t="s">
        <v>171</v>
      </c>
      <c r="B154" s="85" t="s">
        <v>7</v>
      </c>
      <c r="C154" s="85"/>
      <c r="D154" s="85"/>
      <c r="E154" s="113"/>
      <c r="F154" s="83" t="s">
        <v>216</v>
      </c>
      <c r="G154" s="84" t="b">
        <v>1</v>
      </c>
    </row>
    <row r="155" spans="1:7" hidden="1" x14ac:dyDescent="0.25">
      <c r="A155" s="83" t="s">
        <v>115</v>
      </c>
      <c r="B155" s="85" t="s">
        <v>109</v>
      </c>
      <c r="C155" s="85"/>
      <c r="D155" s="85"/>
      <c r="E155" s="113"/>
      <c r="F155" s="83" t="s">
        <v>216</v>
      </c>
      <c r="G155" s="84" t="b">
        <v>1</v>
      </c>
    </row>
    <row r="156" spans="1:7" hidden="1" x14ac:dyDescent="0.25">
      <c r="A156" s="85" t="s">
        <v>83</v>
      </c>
      <c r="B156" s="85" t="s">
        <v>51</v>
      </c>
      <c r="C156" s="85"/>
      <c r="D156" s="85"/>
      <c r="E156" s="113"/>
      <c r="F156" s="83" t="s">
        <v>217</v>
      </c>
      <c r="G156" s="84" t="b">
        <v>1</v>
      </c>
    </row>
    <row r="157" spans="1:7" hidden="1" x14ac:dyDescent="0.25">
      <c r="A157" s="83" t="s">
        <v>185</v>
      </c>
      <c r="B157" s="85" t="s">
        <v>7</v>
      </c>
      <c r="C157" s="85"/>
      <c r="D157" s="85"/>
      <c r="E157" s="113"/>
      <c r="F157" s="83" t="s">
        <v>216</v>
      </c>
      <c r="G157" s="84" t="b">
        <v>1</v>
      </c>
    </row>
    <row r="158" spans="1:7" hidden="1" x14ac:dyDescent="0.25">
      <c r="A158" s="83" t="s">
        <v>198</v>
      </c>
      <c r="B158" s="85" t="s">
        <v>11</v>
      </c>
      <c r="C158" s="85"/>
      <c r="D158" s="85"/>
      <c r="E158" s="113"/>
      <c r="F158" s="83" t="s">
        <v>216</v>
      </c>
      <c r="G158" s="84" t="b">
        <v>1</v>
      </c>
    </row>
    <row r="159" spans="1:7" hidden="1" x14ac:dyDescent="0.25">
      <c r="A159" s="85" t="s">
        <v>230</v>
      </c>
      <c r="B159" s="85" t="s">
        <v>231</v>
      </c>
      <c r="C159" s="85"/>
      <c r="D159" s="85"/>
      <c r="E159" s="113"/>
      <c r="F159" s="83" t="s">
        <v>216</v>
      </c>
      <c r="G159" s="84" t="b">
        <v>1</v>
      </c>
    </row>
  </sheetData>
  <sheetProtection formatCells="0" formatColumns="0" formatRows="0" insertColumns="0" insertRows="0" insertHyperlinks="0" deleteColumns="0" deleteRows="0" sort="0" autoFilter="0" pivotTables="0"/>
  <phoneticPr fontId="0" type="noConversion"/>
  <pageMargins left="0.78740157499999996" right="0.78740157499999996" top="0.984251969" bottom="0.984251969" header="0.4921259845" footer="0.4921259845"/>
  <pageSetup paperSize="9" orientation="portrait" horizontalDpi="0" verticalDpi="0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48C52-D60D-41E9-AB6B-AF7B047EBA25}">
  <sheetPr codeName="Tabelle4"/>
  <dimension ref="A1:AC75"/>
  <sheetViews>
    <sheetView topLeftCell="AB1" workbookViewId="0">
      <selection activeCell="AC2" sqref="AC2"/>
    </sheetView>
  </sheetViews>
  <sheetFormatPr baseColWidth="10" defaultRowHeight="12.75" x14ac:dyDescent="0.2"/>
  <cols>
    <col min="1" max="1" width="32.140625" style="78" bestFit="1" customWidth="1"/>
    <col min="2" max="2" width="11.42578125" style="78" bestFit="1" customWidth="1"/>
    <col min="3" max="5" width="2" style="78" bestFit="1" customWidth="1"/>
    <col min="6" max="6" width="3" style="78" customWidth="1"/>
    <col min="7" max="7" width="6.7109375" style="78" bestFit="1" customWidth="1"/>
    <col min="8" max="8" width="3" style="78" bestFit="1" customWidth="1"/>
    <col min="9" max="9" width="2.7109375" customWidth="1"/>
    <col min="10" max="10" width="31.85546875" style="79" bestFit="1" customWidth="1"/>
    <col min="11" max="11" width="11.5703125" style="79" bestFit="1" customWidth="1"/>
    <col min="12" max="12" width="2" style="79" bestFit="1" customWidth="1"/>
    <col min="13" max="14" width="2" style="79" customWidth="1"/>
    <col min="15" max="15" width="3.28515625" style="79" bestFit="1" customWidth="1"/>
    <col min="16" max="16" width="6.7109375" style="79" bestFit="1" customWidth="1"/>
    <col min="17" max="17" width="3" style="79" bestFit="1" customWidth="1"/>
    <col min="18" max="18" width="4.42578125" customWidth="1"/>
    <col min="19" max="19" width="29" style="82" bestFit="1" customWidth="1"/>
    <col min="20" max="20" width="6.42578125" style="82" bestFit="1" customWidth="1"/>
    <col min="21" max="21" width="2" style="82" bestFit="1" customWidth="1"/>
    <col min="22" max="23" width="2" style="82" customWidth="1"/>
    <col min="24" max="24" width="3.28515625" style="82" bestFit="1" customWidth="1"/>
    <col min="25" max="25" width="6.7109375" style="82" bestFit="1" customWidth="1"/>
    <col min="26" max="26" width="3" style="82" bestFit="1" customWidth="1"/>
  </cols>
  <sheetData>
    <row r="1" spans="1:29" ht="13.5" thickBot="1" x14ac:dyDescent="0.25">
      <c r="A1" s="78" t="str" cm="1">
        <f t="array" ref="A1:G75">_xlfn._xlws.SORT(_xlfn._xlws.FILTER(tblArtikel[],(tblArtikel[Lager]="TL")*(tblArtikel[Aktiv])))</f>
        <v>Apfelmus</v>
      </c>
      <c r="B1" s="78" t="str">
        <v>gr. Dose</v>
      </c>
      <c r="C1" s="78">
        <v>0</v>
      </c>
      <c r="D1" s="78">
        <v>0</v>
      </c>
      <c r="E1" s="78">
        <v>0</v>
      </c>
      <c r="F1" s="78" t="str">
        <v>TL</v>
      </c>
      <c r="G1" s="78" t="b">
        <v>1</v>
      </c>
      <c r="H1" s="80">
        <f>ROWS(_xlfn.ANCHORARRAY(hlpTL))</f>
        <v>75</v>
      </c>
      <c r="J1" s="79" t="str" cm="1">
        <f t="array" ref="J1:P52">_xlfn._xlws.SORT(_xlfn._xlws.FILTER(tblArtikel[],(tblArtikel[Lager]="KL")*(tblArtikel[Aktiv])))</f>
        <v>Basilikum Pesto</v>
      </c>
      <c r="K1" s="79" t="str">
        <v>Glas</v>
      </c>
      <c r="L1" s="79">
        <v>0</v>
      </c>
      <c r="M1" s="79">
        <v>0</v>
      </c>
      <c r="N1" s="79">
        <v>4</v>
      </c>
      <c r="O1" s="79" t="str">
        <v>KL</v>
      </c>
      <c r="P1" s="79" t="b">
        <v>1</v>
      </c>
      <c r="Q1" s="81">
        <f>ROWS(_xlfn.ANCHORARRAY(hpKL))</f>
        <v>52</v>
      </c>
      <c r="S1" s="82" t="str" cm="1">
        <f t="array" ref="S1:Y15">_xlfn._xlws.SORT(_xlfn._xlws.FILTER(tblArtikel[],(tblArtikel[Lager]="TK")*(tblArtikel[Aktiv])))</f>
        <v xml:space="preserve">Baker &amp; Baker - Blaubeermuffins </v>
      </c>
      <c r="T1" s="82" t="str">
        <v>Karton</v>
      </c>
      <c r="U1" s="82">
        <v>0</v>
      </c>
      <c r="V1" s="82">
        <v>0</v>
      </c>
      <c r="W1" s="82">
        <v>1</v>
      </c>
      <c r="X1" s="82" t="str">
        <v>TK</v>
      </c>
      <c r="Y1" s="82" t="b">
        <v>1</v>
      </c>
      <c r="Z1" s="86">
        <f>ROWS(_xlfn.ANCHORARRAY(hlpTK))</f>
        <v>15</v>
      </c>
    </row>
    <row r="2" spans="1:29" x14ac:dyDescent="0.2">
      <c r="A2" s="78" t="str">
        <v>Backpapier</v>
      </c>
      <c r="B2" s="78" t="str">
        <v>Rolle</v>
      </c>
      <c r="C2" s="78">
        <v>1</v>
      </c>
      <c r="D2" s="78">
        <v>2</v>
      </c>
      <c r="E2" s="78">
        <v>0</v>
      </c>
      <c r="F2" s="78" t="str">
        <v>TL</v>
      </c>
      <c r="G2" s="78" t="b">
        <v>1</v>
      </c>
      <c r="J2" s="79" t="str">
        <v>Bebo-Pflanzencreme</v>
      </c>
      <c r="K2" s="79" t="str">
        <v>Kanister</v>
      </c>
      <c r="L2" s="79">
        <v>0</v>
      </c>
      <c r="M2" s="79">
        <v>0</v>
      </c>
      <c r="N2" s="79">
        <v>0</v>
      </c>
      <c r="O2" s="79" t="str">
        <v>KL</v>
      </c>
      <c r="P2" s="79" t="b">
        <v>1</v>
      </c>
      <c r="S2" s="82" t="str">
        <v>Baker &amp; Baker - Schokomuffins</v>
      </c>
      <c r="T2" s="82" t="str">
        <v>Karton</v>
      </c>
      <c r="U2" s="82">
        <v>0</v>
      </c>
      <c r="V2" s="82">
        <v>0</v>
      </c>
      <c r="W2" s="82">
        <v>1</v>
      </c>
      <c r="X2" s="82" t="str">
        <v>TK</v>
      </c>
      <c r="Y2" s="82" t="b">
        <v>1</v>
      </c>
      <c r="AA2" s="108"/>
      <c r="AB2" s="109" t="s">
        <v>222</v>
      </c>
      <c r="AC2" s="110">
        <f ca="1">TODAY()</f>
        <v>46113</v>
      </c>
    </row>
    <row r="3" spans="1:29" ht="13.5" thickBot="1" x14ac:dyDescent="0.25">
      <c r="A3" s="78" t="str">
        <v>Backpulver</v>
      </c>
      <c r="B3" s="78" t="str">
        <v>Paket</v>
      </c>
      <c r="C3" s="78">
        <v>0</v>
      </c>
      <c r="D3" s="78">
        <v>0</v>
      </c>
      <c r="E3" s="78">
        <v>0</v>
      </c>
      <c r="F3" s="78" t="str">
        <v>TL</v>
      </c>
      <c r="G3" s="78" t="b">
        <v>1</v>
      </c>
      <c r="H3" s="78">
        <f>COLUMNS(_xlfn.ANCHORARRAY(hlpTL))</f>
        <v>7</v>
      </c>
      <c r="J3" s="79" t="str">
        <v>Bratwurst 140g</v>
      </c>
      <c r="K3" s="79" t="str">
        <v>10er Paket</v>
      </c>
      <c r="L3" s="79">
        <v>0</v>
      </c>
      <c r="M3" s="79">
        <v>0</v>
      </c>
      <c r="N3" s="79">
        <v>8</v>
      </c>
      <c r="O3" s="79" t="str">
        <v>KL</v>
      </c>
      <c r="P3" s="79" t="b">
        <v>1</v>
      </c>
      <c r="S3" s="82" t="str">
        <v>Chicken Nuggets</v>
      </c>
      <c r="T3" s="82" t="str">
        <v>Beutel</v>
      </c>
      <c r="U3" s="82">
        <v>0</v>
      </c>
      <c r="V3" s="82">
        <v>0</v>
      </c>
      <c r="W3" s="82">
        <v>0</v>
      </c>
      <c r="X3" s="82" t="str">
        <v>TK</v>
      </c>
      <c r="Y3" s="82" t="b">
        <v>1</v>
      </c>
      <c r="AB3" s="111" t="s">
        <v>223</v>
      </c>
      <c r="AC3" s="112">
        <f ca="1">AC2+1</f>
        <v>46114</v>
      </c>
    </row>
    <row r="4" spans="1:29" x14ac:dyDescent="0.2">
      <c r="A4" s="78" t="str">
        <v>Balsamicoessig Dunkel</v>
      </c>
      <c r="B4" s="78" t="str">
        <v>Flasche</v>
      </c>
      <c r="C4" s="78">
        <v>0</v>
      </c>
      <c r="D4" s="78">
        <v>0</v>
      </c>
      <c r="E4" s="78">
        <v>0</v>
      </c>
      <c r="F4" s="78" t="str">
        <v>TL</v>
      </c>
      <c r="G4" s="78" t="b">
        <v>1</v>
      </c>
      <c r="J4" s="79" t="str">
        <v>Burrata</v>
      </c>
      <c r="K4" s="79" t="str">
        <v>Stück</v>
      </c>
      <c r="L4" s="79">
        <v>0</v>
      </c>
      <c r="M4" s="79">
        <v>0</v>
      </c>
      <c r="N4" s="79">
        <v>10</v>
      </c>
      <c r="O4" s="79" t="str">
        <v>KL</v>
      </c>
      <c r="P4" s="79" t="b">
        <v>1</v>
      </c>
      <c r="S4" s="82" t="str">
        <v>Ciabatta Brote</v>
      </c>
      <c r="T4" s="82" t="str">
        <v>Karton</v>
      </c>
      <c r="U4" s="82">
        <v>0</v>
      </c>
      <c r="V4" s="82">
        <v>0</v>
      </c>
      <c r="W4" s="82">
        <v>1</v>
      </c>
      <c r="X4" s="82" t="str">
        <v>TK</v>
      </c>
      <c r="Y4" s="82" t="b">
        <v>1</v>
      </c>
    </row>
    <row r="5" spans="1:29" x14ac:dyDescent="0.2">
      <c r="A5" s="78" t="str">
        <v>Balsamicoessig Hell</v>
      </c>
      <c r="B5" s="78" t="str">
        <v>Flasche</v>
      </c>
      <c r="C5" s="78">
        <v>0</v>
      </c>
      <c r="D5" s="78">
        <v>0</v>
      </c>
      <c r="E5" s="78">
        <v>6</v>
      </c>
      <c r="F5" s="78" t="str">
        <v>TL</v>
      </c>
      <c r="G5" s="78" t="b">
        <v>1</v>
      </c>
      <c r="J5" s="79" t="str">
        <v xml:space="preserve">Butter </v>
      </c>
      <c r="K5" s="79" t="str">
        <v>10 kg Karton</v>
      </c>
      <c r="L5" s="79">
        <v>0</v>
      </c>
      <c r="M5" s="79">
        <v>0</v>
      </c>
      <c r="N5" s="79">
        <v>0</v>
      </c>
      <c r="O5" s="79" t="str">
        <v>KL</v>
      </c>
      <c r="P5" s="79" t="b">
        <v>1</v>
      </c>
      <c r="S5" s="82" t="str">
        <v>Dorade-Filets</v>
      </c>
      <c r="T5" s="82" t="str">
        <v>Karton</v>
      </c>
      <c r="U5" s="82">
        <v>0</v>
      </c>
      <c r="V5" s="82">
        <v>0</v>
      </c>
      <c r="W5" s="82">
        <v>0</v>
      </c>
      <c r="X5" s="82" t="str">
        <v>TK</v>
      </c>
      <c r="Y5" s="82" t="b">
        <v>1</v>
      </c>
      <c r="AA5" s="108"/>
    </row>
    <row r="6" spans="1:29" x14ac:dyDescent="0.2">
      <c r="A6" s="78" t="str">
        <v>Couscous</v>
      </c>
      <c r="B6" s="78" t="str">
        <v>kg</v>
      </c>
      <c r="C6" s="78">
        <v>0</v>
      </c>
      <c r="D6" s="78">
        <v>0</v>
      </c>
      <c r="E6" s="78">
        <v>0</v>
      </c>
      <c r="F6" s="78" t="str">
        <v>TL</v>
      </c>
      <c r="G6" s="78" t="b">
        <v>1</v>
      </c>
      <c r="J6" s="79" t="str">
        <v>Cheddar Scheiben</v>
      </c>
      <c r="K6" s="79" t="str">
        <v>Paket</v>
      </c>
      <c r="L6" s="79">
        <v>0</v>
      </c>
      <c r="M6" s="79">
        <v>0</v>
      </c>
      <c r="N6" s="79">
        <v>1</v>
      </c>
      <c r="O6" s="79" t="str">
        <v>KL</v>
      </c>
      <c r="P6" s="79" t="b">
        <v>1</v>
      </c>
      <c r="S6" s="82" t="str">
        <v>Dunkle Beeren</v>
      </c>
      <c r="T6" s="82" t="str">
        <v>2,5kg</v>
      </c>
      <c r="U6" s="82">
        <v>0</v>
      </c>
      <c r="V6" s="82">
        <v>0</v>
      </c>
      <c r="W6" s="82">
        <v>0</v>
      </c>
      <c r="X6" s="82" t="str">
        <v>TK</v>
      </c>
      <c r="Y6" s="82" t="b">
        <v>1</v>
      </c>
    </row>
    <row r="7" spans="1:29" x14ac:dyDescent="0.2">
      <c r="A7" s="78" t="str">
        <v>Curryketchup</v>
      </c>
      <c r="B7" s="78" t="str">
        <v>10l Eimer</v>
      </c>
      <c r="C7" s="78">
        <v>0</v>
      </c>
      <c r="D7" s="78">
        <v>0</v>
      </c>
      <c r="E7" s="78">
        <v>0</v>
      </c>
      <c r="F7" s="78" t="str">
        <v>TL</v>
      </c>
      <c r="G7" s="78" t="b">
        <v>1</v>
      </c>
      <c r="J7" s="79" t="str">
        <v>Creme Fraiche</v>
      </c>
      <c r="K7" s="79" t="str">
        <v>kg</v>
      </c>
      <c r="L7" s="79">
        <v>0</v>
      </c>
      <c r="M7" s="79">
        <v>0</v>
      </c>
      <c r="N7" s="79">
        <v>0</v>
      </c>
      <c r="O7" s="79" t="str">
        <v>KL</v>
      </c>
      <c r="P7" s="79" t="b">
        <v>1</v>
      </c>
      <c r="S7" s="82" t="str">
        <v>Edna Baguette</v>
      </c>
      <c r="T7" s="82" t="str">
        <v>Karton</v>
      </c>
      <c r="U7" s="82">
        <v>0</v>
      </c>
      <c r="V7" s="82">
        <v>0</v>
      </c>
      <c r="W7" s="82">
        <v>4</v>
      </c>
      <c r="X7" s="82" t="str">
        <v>TK</v>
      </c>
      <c r="Y7" s="82" t="b">
        <v>1</v>
      </c>
    </row>
    <row r="8" spans="1:29" x14ac:dyDescent="0.2">
      <c r="A8" s="78" t="str">
        <v>Currypulver</v>
      </c>
      <c r="B8" s="78" t="str">
        <v>Beutel</v>
      </c>
      <c r="C8" s="78">
        <v>0</v>
      </c>
      <c r="D8" s="78">
        <v>0</v>
      </c>
      <c r="E8" s="78">
        <v>0</v>
      </c>
      <c r="F8" s="78" t="str">
        <v>TL</v>
      </c>
      <c r="G8" s="78" t="b">
        <v>1</v>
      </c>
      <c r="J8" s="79" t="str">
        <v>Debic Parfait</v>
      </c>
      <c r="K8" s="79" t="str">
        <v>Flasche</v>
      </c>
      <c r="L8" s="79">
        <v>0</v>
      </c>
      <c r="M8" s="79">
        <v>0</v>
      </c>
      <c r="N8" s="79">
        <v>0</v>
      </c>
      <c r="O8" s="79" t="str">
        <v>KL</v>
      </c>
      <c r="P8" s="79" t="b">
        <v>1</v>
      </c>
      <c r="S8" s="82" t="str">
        <v>Erbsen</v>
      </c>
      <c r="T8" s="82" t="str">
        <v>Beutel</v>
      </c>
      <c r="U8" s="82">
        <v>0</v>
      </c>
      <c r="V8" s="82">
        <v>0</v>
      </c>
      <c r="W8" s="82">
        <v>0</v>
      </c>
      <c r="X8" s="82" t="str">
        <v>TK</v>
      </c>
      <c r="Y8" s="82" t="b">
        <v>1</v>
      </c>
    </row>
    <row r="9" spans="1:29" x14ac:dyDescent="0.2">
      <c r="A9" s="78" t="str">
        <v>Drahtschwämme, groß</v>
      </c>
      <c r="B9" s="78" t="str">
        <v>Stück</v>
      </c>
      <c r="C9" s="78">
        <v>2</v>
      </c>
      <c r="D9" s="78">
        <v>5</v>
      </c>
      <c r="E9" s="78">
        <v>0</v>
      </c>
      <c r="F9" s="78" t="str">
        <v>TL</v>
      </c>
      <c r="G9" s="78" t="b">
        <v>1</v>
      </c>
      <c r="J9" s="79" t="str">
        <v xml:space="preserve">Farmfrites  Steakhouse Fries !!! </v>
      </c>
      <c r="K9" s="79" t="str">
        <v>Karton</v>
      </c>
      <c r="L9" s="79">
        <v>0</v>
      </c>
      <c r="M9" s="79">
        <v>0</v>
      </c>
      <c r="N9" s="79">
        <v>6</v>
      </c>
      <c r="O9" s="79" t="str">
        <v>KL</v>
      </c>
      <c r="P9" s="79" t="b">
        <v>1</v>
      </c>
      <c r="S9" s="82" t="str">
        <v>Fischstäbchen (5kg)</v>
      </c>
      <c r="T9" s="82" t="str">
        <v>Beutel</v>
      </c>
      <c r="U9" s="82">
        <v>0</v>
      </c>
      <c r="V9" s="82">
        <v>0</v>
      </c>
      <c r="W9" s="82">
        <v>0</v>
      </c>
      <c r="X9" s="82" t="str">
        <v>TK</v>
      </c>
      <c r="Y9" s="82" t="b">
        <v>1</v>
      </c>
    </row>
    <row r="10" spans="1:29" x14ac:dyDescent="0.2">
      <c r="A10" s="78" t="str">
        <v>Eiswaffeln</v>
      </c>
      <c r="B10" s="78" t="str">
        <v>Paket</v>
      </c>
      <c r="C10" s="78">
        <v>0</v>
      </c>
      <c r="D10" s="78">
        <v>0</v>
      </c>
      <c r="E10" s="78">
        <v>0</v>
      </c>
      <c r="F10" s="78" t="str">
        <v>TL</v>
      </c>
      <c r="G10" s="78" t="b">
        <v>1</v>
      </c>
      <c r="J10" s="79" t="str">
        <v>Fetakäse vom Schaf</v>
      </c>
      <c r="K10" s="79" t="str">
        <v>Stück</v>
      </c>
      <c r="L10" s="79">
        <v>0</v>
      </c>
      <c r="M10" s="79">
        <v>0</v>
      </c>
      <c r="N10" s="79">
        <v>0</v>
      </c>
      <c r="O10" s="79" t="str">
        <v>KL</v>
      </c>
      <c r="P10" s="79" t="b">
        <v>1</v>
      </c>
      <c r="S10" s="82" t="str">
        <v>Garnelen (gepult) 8/12"er</v>
      </c>
      <c r="T10" s="82" t="str">
        <v>Beutel</v>
      </c>
      <c r="U10" s="82">
        <v>0</v>
      </c>
      <c r="V10" s="82">
        <v>0</v>
      </c>
      <c r="W10" s="82">
        <v>0</v>
      </c>
      <c r="X10" s="82" t="str">
        <v>TK</v>
      </c>
      <c r="Y10" s="82" t="b">
        <v>1</v>
      </c>
    </row>
    <row r="11" spans="1:29" x14ac:dyDescent="0.2">
      <c r="A11" s="78" t="str">
        <v>Erdnüsse (gesalzen)</v>
      </c>
      <c r="B11" s="78" t="str">
        <v>Paket</v>
      </c>
      <c r="C11" s="78">
        <v>0</v>
      </c>
      <c r="D11" s="78">
        <v>0</v>
      </c>
      <c r="E11" s="78">
        <v>0</v>
      </c>
      <c r="F11" s="78" t="str">
        <v>TL</v>
      </c>
      <c r="G11" s="78" t="b">
        <v>1</v>
      </c>
      <c r="J11" s="79" t="str">
        <v>Fladenbrot</v>
      </c>
      <c r="K11" s="79" t="str">
        <v>Stück</v>
      </c>
      <c r="L11" s="79">
        <v>0</v>
      </c>
      <c r="M11" s="79">
        <v>0</v>
      </c>
      <c r="N11" s="79">
        <v>0</v>
      </c>
      <c r="O11" s="79" t="str">
        <v>KL</v>
      </c>
      <c r="P11" s="79" t="b">
        <v>1</v>
      </c>
      <c r="S11" s="82" t="str">
        <v>grüne Bohnen</v>
      </c>
      <c r="T11" s="82" t="str">
        <v>Beutel</v>
      </c>
      <c r="U11" s="82">
        <v>0</v>
      </c>
      <c r="V11" s="82">
        <v>0</v>
      </c>
      <c r="W11" s="82">
        <v>0</v>
      </c>
      <c r="X11" s="82" t="str">
        <v>TK</v>
      </c>
      <c r="Y11" s="82" t="b">
        <v>1</v>
      </c>
    </row>
    <row r="12" spans="1:29" x14ac:dyDescent="0.2">
      <c r="A12" s="78" t="str">
        <v>Feines Speisesalz</v>
      </c>
      <c r="B12" s="78" t="str">
        <v>10kg Eimer</v>
      </c>
      <c r="C12" s="78">
        <v>1</v>
      </c>
      <c r="D12" s="78">
        <v>2</v>
      </c>
      <c r="E12" s="78">
        <v>0</v>
      </c>
      <c r="F12" s="78" t="str">
        <v>TL</v>
      </c>
      <c r="G12" s="78" t="b">
        <v>1</v>
      </c>
      <c r="J12" s="79" t="str">
        <v>Frische Eier Gr. M</v>
      </c>
      <c r="K12" s="79" t="str">
        <v>Stück</v>
      </c>
      <c r="L12" s="79">
        <v>0</v>
      </c>
      <c r="M12" s="79">
        <v>0</v>
      </c>
      <c r="N12" s="79">
        <v>30</v>
      </c>
      <c r="O12" s="79" t="str">
        <v>KL</v>
      </c>
      <c r="P12" s="79" t="b">
        <v>1</v>
      </c>
      <c r="S12" s="82" t="str">
        <v>Knusperschnitzel Schwein (230g)</v>
      </c>
      <c r="T12" s="82" t="str">
        <v>Karton</v>
      </c>
      <c r="U12" s="82">
        <v>0</v>
      </c>
      <c r="V12" s="82">
        <v>0</v>
      </c>
      <c r="W12" s="82">
        <v>0</v>
      </c>
      <c r="X12" s="82" t="str">
        <v>TK</v>
      </c>
      <c r="Y12" s="82" t="b">
        <v>1</v>
      </c>
    </row>
    <row r="13" spans="1:29" x14ac:dyDescent="0.2">
      <c r="A13" s="78" t="str">
        <v>Gelantine</v>
      </c>
      <c r="B13" s="78" t="str">
        <v>Paket</v>
      </c>
      <c r="C13" s="78">
        <v>0</v>
      </c>
      <c r="D13" s="78">
        <v>0</v>
      </c>
      <c r="E13" s="78">
        <v>0</v>
      </c>
      <c r="F13" s="78" t="str">
        <v>TL</v>
      </c>
      <c r="G13" s="78" t="b">
        <v>1</v>
      </c>
      <c r="J13" s="79" t="str">
        <v>Frischkäse</v>
      </c>
      <c r="K13" s="79" t="str">
        <v>kg</v>
      </c>
      <c r="L13" s="79">
        <v>0</v>
      </c>
      <c r="M13" s="79">
        <v>0</v>
      </c>
      <c r="N13" s="79">
        <v>0</v>
      </c>
      <c r="O13" s="79" t="str">
        <v>KL</v>
      </c>
      <c r="P13" s="79" t="b">
        <v>1</v>
      </c>
      <c r="S13" s="82" t="str">
        <v>Lachsfilet (150g)</v>
      </c>
      <c r="T13" s="82" t="str">
        <v>Karton</v>
      </c>
      <c r="U13" s="82">
        <v>0</v>
      </c>
      <c r="V13" s="82">
        <v>0</v>
      </c>
      <c r="W13" s="82">
        <v>0</v>
      </c>
      <c r="X13" s="82" t="str">
        <v>TK</v>
      </c>
      <c r="Y13" s="82" t="b">
        <v>1</v>
      </c>
    </row>
    <row r="14" spans="1:29" x14ac:dyDescent="0.2">
      <c r="A14" s="78" t="str">
        <v>Geschälte Tomaten in Dose</v>
      </c>
      <c r="B14" s="78" t="str">
        <v>Dose</v>
      </c>
      <c r="C14" s="78">
        <v>2</v>
      </c>
      <c r="D14" s="78">
        <v>4</v>
      </c>
      <c r="E14" s="78">
        <v>0</v>
      </c>
      <c r="F14" s="78" t="str">
        <v>TL</v>
      </c>
      <c r="G14" s="78" t="b">
        <v>1</v>
      </c>
      <c r="J14" s="79" t="str">
        <v>gewürfelter Speck</v>
      </c>
      <c r="K14" s="79" t="str">
        <v>Paket</v>
      </c>
      <c r="L14" s="79">
        <v>0</v>
      </c>
      <c r="M14" s="79">
        <v>0</v>
      </c>
      <c r="N14" s="79">
        <v>0</v>
      </c>
      <c r="O14" s="79" t="str">
        <v>KL</v>
      </c>
      <c r="P14" s="79" t="b">
        <v>1</v>
      </c>
      <c r="S14" s="82" t="str">
        <v>Räucherlachs (TK)</v>
      </c>
      <c r="T14" s="82" t="str">
        <v>Seite</v>
      </c>
      <c r="U14" s="82">
        <v>0</v>
      </c>
      <c r="V14" s="82">
        <v>0</v>
      </c>
      <c r="W14" s="82">
        <v>0</v>
      </c>
      <c r="X14" s="82" t="str">
        <v>TK</v>
      </c>
      <c r="Y14" s="82" t="b">
        <v>1</v>
      </c>
    </row>
    <row r="15" spans="1:29" x14ac:dyDescent="0.2">
      <c r="A15" s="78" t="str">
        <v>Getrocknete Tymian</v>
      </c>
      <c r="B15" s="78" t="str">
        <v>Beutel</v>
      </c>
      <c r="C15" s="78">
        <v>0</v>
      </c>
      <c r="D15" s="78">
        <v>0</v>
      </c>
      <c r="E15" s="78">
        <v>0</v>
      </c>
      <c r="F15" s="78" t="str">
        <v>TL</v>
      </c>
      <c r="G15" s="78" t="b">
        <v>1</v>
      </c>
      <c r="J15" s="79" t="str">
        <v>Gnocchi</v>
      </c>
      <c r="K15" s="79" t="str">
        <v>Paket</v>
      </c>
      <c r="L15" s="79">
        <v>0</v>
      </c>
      <c r="M15" s="79">
        <v>0</v>
      </c>
      <c r="N15" s="79">
        <v>0</v>
      </c>
      <c r="O15" s="79" t="str">
        <v>KL</v>
      </c>
      <c r="P15" s="79" t="b">
        <v>1</v>
      </c>
      <c r="S15" s="82" t="str">
        <v>Steinpilze</v>
      </c>
      <c r="T15" s="82" t="str">
        <v>Beutel</v>
      </c>
      <c r="U15" s="82">
        <v>0</v>
      </c>
      <c r="V15" s="82">
        <v>0</v>
      </c>
      <c r="W15" s="82">
        <v>0</v>
      </c>
      <c r="X15" s="82" t="str">
        <v>TK</v>
      </c>
      <c r="Y15" s="82" t="b">
        <v>1</v>
      </c>
    </row>
    <row r="16" spans="1:29" x14ac:dyDescent="0.2">
      <c r="A16" s="78" t="str">
        <v>Gewürzgurken(Scheiben)</v>
      </c>
      <c r="B16" s="78" t="str">
        <v>Dose</v>
      </c>
      <c r="C16" s="78">
        <v>0</v>
      </c>
      <c r="D16" s="78">
        <v>0</v>
      </c>
      <c r="E16" s="78">
        <v>0</v>
      </c>
      <c r="F16" s="78" t="str">
        <v>TL</v>
      </c>
      <c r="G16" s="78" t="b">
        <v>1</v>
      </c>
      <c r="J16" s="79" t="str">
        <v>Gouda gerieben</v>
      </c>
      <c r="K16" s="79" t="str">
        <v>Beutel</v>
      </c>
      <c r="L16" s="79">
        <v>0</v>
      </c>
      <c r="M16" s="79">
        <v>0</v>
      </c>
      <c r="N16" s="79">
        <v>0</v>
      </c>
      <c r="O16" s="79" t="str">
        <v>KL</v>
      </c>
      <c r="P16" s="79" t="b">
        <v>1</v>
      </c>
    </row>
    <row r="17" spans="1:16" x14ac:dyDescent="0.2">
      <c r="A17" s="78" t="str">
        <v>Glasreiniger</v>
      </c>
      <c r="B17" s="78" t="str">
        <v>Flasche</v>
      </c>
      <c r="C17" s="78">
        <v>0</v>
      </c>
      <c r="D17" s="78">
        <v>0</v>
      </c>
      <c r="E17" s="78">
        <v>0</v>
      </c>
      <c r="F17" s="78" t="str">
        <v>TL</v>
      </c>
      <c r="G17" s="78" t="b">
        <v>1</v>
      </c>
      <c r="J17" s="79" t="str">
        <v>griechischer Joghurt</v>
      </c>
      <c r="K17" s="79" t="str">
        <v>5kg!!!</v>
      </c>
      <c r="L17" s="79">
        <v>0</v>
      </c>
      <c r="M17" s="79">
        <v>0</v>
      </c>
      <c r="N17" s="79">
        <v>0</v>
      </c>
      <c r="O17" s="79" t="str">
        <v>KL</v>
      </c>
      <c r="P17" s="79" t="b">
        <v>1</v>
      </c>
    </row>
    <row r="18" spans="1:16" x14ac:dyDescent="0.2">
      <c r="A18" s="78" t="str">
        <v>Gojibeeren</v>
      </c>
      <c r="B18" s="78" t="str">
        <v>Glas</v>
      </c>
      <c r="C18" s="78">
        <v>0</v>
      </c>
      <c r="D18" s="78">
        <v>0</v>
      </c>
      <c r="E18" s="78">
        <v>0</v>
      </c>
      <c r="F18" s="78" t="str">
        <v>TL</v>
      </c>
      <c r="G18" s="78" t="b">
        <v>1</v>
      </c>
      <c r="J18" s="79" t="str">
        <v>Hähnchenbrust</v>
      </c>
      <c r="K18" s="79" t="str">
        <v>kg</v>
      </c>
      <c r="L18" s="79">
        <v>0</v>
      </c>
      <c r="M18" s="79">
        <v>0</v>
      </c>
      <c r="N18" s="79">
        <v>0</v>
      </c>
      <c r="O18" s="79" t="str">
        <v>KL</v>
      </c>
      <c r="P18" s="79" t="b">
        <v>1</v>
      </c>
    </row>
    <row r="19" spans="1:16" x14ac:dyDescent="0.2">
      <c r="A19" s="78" t="str">
        <v>grüne Pefferkörner in Lake</v>
      </c>
      <c r="B19" s="78" t="str">
        <v>kl. Dose</v>
      </c>
      <c r="C19" s="78">
        <v>0</v>
      </c>
      <c r="D19" s="78">
        <v>0</v>
      </c>
      <c r="E19" s="78">
        <v>0</v>
      </c>
      <c r="F19" s="78" t="str">
        <v>TL</v>
      </c>
      <c r="G19" s="78" t="b">
        <v>1</v>
      </c>
      <c r="J19" s="79" t="str">
        <v xml:space="preserve">Joghurt </v>
      </c>
      <c r="K19" s="79" t="str">
        <v xml:space="preserve">5 kg </v>
      </c>
      <c r="L19" s="79">
        <v>0</v>
      </c>
      <c r="M19" s="79">
        <v>0</v>
      </c>
      <c r="N19" s="79">
        <v>0</v>
      </c>
      <c r="O19" s="79" t="str">
        <v>KL</v>
      </c>
      <c r="P19" s="79" t="b">
        <v>1</v>
      </c>
    </row>
    <row r="20" spans="1:16" x14ac:dyDescent="0.2">
      <c r="A20" s="78" t="str">
        <v>H - Milch 1,5 %</v>
      </c>
      <c r="B20" s="78" t="str">
        <v>1 l</v>
      </c>
      <c r="C20" s="78">
        <v>24</v>
      </c>
      <c r="D20" s="78">
        <v>48</v>
      </c>
      <c r="E20" s="78">
        <v>24</v>
      </c>
      <c r="F20" s="78" t="str">
        <v>TL</v>
      </c>
      <c r="G20" s="78" t="b">
        <v>1</v>
      </c>
      <c r="J20" s="79" t="str">
        <v>Kalbsrücken</v>
      </c>
      <c r="K20" s="79" t="str">
        <v>kg</v>
      </c>
      <c r="L20" s="79">
        <v>0</v>
      </c>
      <c r="M20" s="79">
        <v>0</v>
      </c>
      <c r="N20" s="79">
        <v>0</v>
      </c>
      <c r="O20" s="79" t="str">
        <v>KL</v>
      </c>
      <c r="P20" s="79" t="b">
        <v>1</v>
      </c>
    </row>
    <row r="21" spans="1:16" x14ac:dyDescent="0.2">
      <c r="A21" s="78" t="str">
        <v>Himbeersauce</v>
      </c>
      <c r="B21" s="78" t="str">
        <v>2 l</v>
      </c>
      <c r="C21" s="78">
        <v>0</v>
      </c>
      <c r="D21" s="78">
        <v>0</v>
      </c>
      <c r="E21" s="78">
        <v>0</v>
      </c>
      <c r="F21" s="78" t="str">
        <v>TL</v>
      </c>
      <c r="G21" s="78" t="b">
        <v>1</v>
      </c>
      <c r="J21" s="79" t="str">
        <v>Kartoffelgratin</v>
      </c>
      <c r="K21" s="79" t="str">
        <v>gr. Paket</v>
      </c>
      <c r="L21" s="79">
        <v>0</v>
      </c>
      <c r="M21" s="79">
        <v>0</v>
      </c>
      <c r="N21" s="79">
        <v>0</v>
      </c>
      <c r="O21" s="79" t="str">
        <v>KL</v>
      </c>
      <c r="P21" s="79" t="b">
        <v>1</v>
      </c>
    </row>
    <row r="22" spans="1:16" x14ac:dyDescent="0.2">
      <c r="A22" s="78" t="str">
        <v>Honig in Spritzflaschen</v>
      </c>
      <c r="B22" s="78" t="str">
        <v>Flasche</v>
      </c>
      <c r="C22" s="78">
        <v>0</v>
      </c>
      <c r="D22" s="78">
        <v>0</v>
      </c>
      <c r="E22" s="78">
        <v>0</v>
      </c>
      <c r="F22" s="78" t="str">
        <v>TL</v>
      </c>
      <c r="G22" s="78" t="b">
        <v>1</v>
      </c>
      <c r="J22" s="79" t="str">
        <v>Kartoffelsalat (Essig-Öl)</v>
      </c>
      <c r="K22" s="79" t="str">
        <v>Eimer</v>
      </c>
      <c r="L22" s="79">
        <v>0</v>
      </c>
      <c r="M22" s="79">
        <v>0</v>
      </c>
      <c r="N22" s="79">
        <v>0</v>
      </c>
      <c r="O22" s="79" t="str">
        <v>KL</v>
      </c>
      <c r="P22" s="79" t="b">
        <v>1</v>
      </c>
    </row>
    <row r="23" spans="1:16" x14ac:dyDescent="0.2">
      <c r="A23" s="78" t="str">
        <v>Kichererbsen</v>
      </c>
      <c r="B23" s="78" t="str">
        <v>Dose</v>
      </c>
      <c r="C23" s="78">
        <v>0</v>
      </c>
      <c r="D23" s="78">
        <v>0</v>
      </c>
      <c r="E23" s="78">
        <v>0</v>
      </c>
      <c r="F23" s="78" t="str">
        <v>TL</v>
      </c>
      <c r="G23" s="78" t="b">
        <v>1</v>
      </c>
      <c r="J23" s="79" t="str">
        <v>Kartoffelsalat (Mayo)</v>
      </c>
      <c r="K23" s="79" t="str">
        <v>Eimer</v>
      </c>
      <c r="L23" s="79">
        <v>0</v>
      </c>
      <c r="M23" s="79">
        <v>0</v>
      </c>
      <c r="N23" s="79">
        <v>0</v>
      </c>
      <c r="O23" s="79" t="str">
        <v>KL</v>
      </c>
      <c r="P23" s="79" t="b">
        <v>1</v>
      </c>
    </row>
    <row r="24" spans="1:16" x14ac:dyDescent="0.2">
      <c r="A24" s="78" t="str">
        <v>Kidneybohnen</v>
      </c>
      <c r="B24" s="78" t="str">
        <v>gr. Dose</v>
      </c>
      <c r="C24" s="78">
        <v>0</v>
      </c>
      <c r="D24" s="78">
        <v>0</v>
      </c>
      <c r="E24" s="78">
        <v>0</v>
      </c>
      <c r="F24" s="78" t="str">
        <v>TL</v>
      </c>
      <c r="G24" s="78" t="b">
        <v>1</v>
      </c>
      <c r="J24" s="79" t="str">
        <v>Krakauer Bratwurst</v>
      </c>
      <c r="K24" s="79" t="str">
        <v>Stück</v>
      </c>
      <c r="L24" s="79">
        <v>0</v>
      </c>
      <c r="M24" s="79">
        <v>0</v>
      </c>
      <c r="N24" s="79">
        <v>0</v>
      </c>
      <c r="O24" s="79" t="str">
        <v>KL</v>
      </c>
      <c r="P24" s="79" t="b">
        <v>1</v>
      </c>
    </row>
    <row r="25" spans="1:16" x14ac:dyDescent="0.2">
      <c r="A25" s="78" t="str">
        <v>Kinderpunch</v>
      </c>
      <c r="B25" s="78" t="str">
        <v>Flasche</v>
      </c>
      <c r="C25" s="78">
        <v>0</v>
      </c>
      <c r="D25" s="78">
        <v>0</v>
      </c>
      <c r="E25" s="78">
        <v>0</v>
      </c>
      <c r="F25" s="78" t="str">
        <v>TL</v>
      </c>
      <c r="G25" s="78" t="b">
        <v>1</v>
      </c>
      <c r="J25" s="79" t="str">
        <v>Krautsalat</v>
      </c>
      <c r="K25" s="79" t="str">
        <v>Eimer</v>
      </c>
      <c r="L25" s="79">
        <v>0</v>
      </c>
      <c r="M25" s="79">
        <v>0</v>
      </c>
      <c r="N25" s="79">
        <v>0</v>
      </c>
      <c r="O25" s="79" t="str">
        <v>KL</v>
      </c>
      <c r="P25" s="79" t="b">
        <v>1</v>
      </c>
    </row>
    <row r="26" spans="1:16" x14ac:dyDescent="0.2">
      <c r="A26" s="78" t="str">
        <v>Kochwein rot</v>
      </c>
      <c r="B26" s="78" t="str">
        <v>2 l Flasche</v>
      </c>
      <c r="C26" s="78">
        <v>0</v>
      </c>
      <c r="D26" s="78">
        <v>0</v>
      </c>
      <c r="E26" s="78">
        <v>0</v>
      </c>
      <c r="F26" s="78" t="str">
        <v>TL</v>
      </c>
      <c r="G26" s="78" t="b">
        <v>1</v>
      </c>
      <c r="J26" s="79" t="str">
        <v>Limburger Senf (körniger Senf)</v>
      </c>
      <c r="K26" s="79" t="str">
        <v>Eimer</v>
      </c>
      <c r="L26" s="79">
        <v>0</v>
      </c>
      <c r="M26" s="79">
        <v>0</v>
      </c>
      <c r="N26" s="79">
        <v>0</v>
      </c>
      <c r="O26" s="79" t="str">
        <v>KL</v>
      </c>
      <c r="P26" s="79" t="b">
        <v>1</v>
      </c>
    </row>
    <row r="27" spans="1:16" x14ac:dyDescent="0.2">
      <c r="A27" s="78" t="str">
        <v>Kochwein weiß</v>
      </c>
      <c r="B27" s="78" t="str">
        <v>2 l Flasche</v>
      </c>
      <c r="C27" s="78">
        <v>0</v>
      </c>
      <c r="D27" s="78">
        <v>0</v>
      </c>
      <c r="E27" s="78">
        <v>0</v>
      </c>
      <c r="F27" s="78" t="str">
        <v>TL</v>
      </c>
      <c r="G27" s="78" t="b">
        <v>1</v>
      </c>
      <c r="J27" s="79" t="str">
        <v>Mayonnaise</v>
      </c>
      <c r="K27" s="79" t="str">
        <v>flasche</v>
      </c>
      <c r="L27" s="79">
        <v>0</v>
      </c>
      <c r="M27" s="79">
        <v>0</v>
      </c>
      <c r="N27" s="79">
        <v>0</v>
      </c>
      <c r="O27" s="79" t="str">
        <v>KL</v>
      </c>
      <c r="P27" s="79" t="b">
        <v>1</v>
      </c>
    </row>
    <row r="28" spans="1:16" x14ac:dyDescent="0.2">
      <c r="A28" s="78" t="str">
        <v>Kondensmilch 7,5 % Döschen</v>
      </c>
      <c r="B28" s="78" t="str">
        <v>Karton</v>
      </c>
      <c r="C28" s="78">
        <v>2</v>
      </c>
      <c r="D28" s="78">
        <v>3</v>
      </c>
      <c r="E28" s="78">
        <v>0</v>
      </c>
      <c r="F28" s="78" t="str">
        <v>TL</v>
      </c>
      <c r="G28" s="78" t="b">
        <v>1</v>
      </c>
      <c r="J28" s="79" t="str">
        <v>Möhrensalat</v>
      </c>
      <c r="K28" s="79" t="str">
        <v>2kg Eimer</v>
      </c>
      <c r="L28" s="79">
        <v>0</v>
      </c>
      <c r="M28" s="79">
        <v>0</v>
      </c>
      <c r="N28" s="79">
        <v>2</v>
      </c>
      <c r="O28" s="79" t="str">
        <v>KL</v>
      </c>
      <c r="P28" s="79" t="b">
        <v>1</v>
      </c>
    </row>
    <row r="29" spans="1:16" x14ac:dyDescent="0.2">
      <c r="A29" s="78" t="str">
        <v>Latex Handschuhe Gr.L ungepudert</v>
      </c>
      <c r="B29" s="78" t="str">
        <v>Paket</v>
      </c>
      <c r="C29" s="78">
        <v>0</v>
      </c>
      <c r="D29" s="78">
        <v>0</v>
      </c>
      <c r="E29" s="78">
        <v>0</v>
      </c>
      <c r="F29" s="78" t="str">
        <v>TL</v>
      </c>
      <c r="G29" s="78" t="b">
        <v>1</v>
      </c>
      <c r="J29" s="79" t="str">
        <v>Mozzarella (in Lake)</v>
      </c>
      <c r="K29" s="79" t="str">
        <v>Beutel</v>
      </c>
      <c r="L29" s="79">
        <v>0</v>
      </c>
      <c r="M29" s="79">
        <v>0</v>
      </c>
      <c r="N29" s="79">
        <v>0</v>
      </c>
      <c r="O29" s="79" t="str">
        <v>KL</v>
      </c>
      <c r="P29" s="79" t="b">
        <v>1</v>
      </c>
    </row>
    <row r="30" spans="1:16" x14ac:dyDescent="0.2">
      <c r="A30" s="78" t="str">
        <v>Latex Handschuhe Gr.M ungepudert</v>
      </c>
      <c r="B30" s="78" t="str">
        <v>Paket</v>
      </c>
      <c r="C30" s="78">
        <v>0</v>
      </c>
      <c r="D30" s="78">
        <v>0</v>
      </c>
      <c r="E30" s="78">
        <v>0</v>
      </c>
      <c r="F30" s="78" t="str">
        <v>TL</v>
      </c>
      <c r="G30" s="78" t="b">
        <v>1</v>
      </c>
      <c r="J30" s="79" t="str">
        <v>Naturjoghurt</v>
      </c>
      <c r="K30" s="79" t="str">
        <v>5 kg</v>
      </c>
      <c r="L30" s="79">
        <v>0</v>
      </c>
      <c r="M30" s="79">
        <v>0</v>
      </c>
      <c r="N30" s="79">
        <v>0</v>
      </c>
      <c r="O30" s="79" t="str">
        <v>KL</v>
      </c>
      <c r="P30" s="79" t="b">
        <v>1</v>
      </c>
    </row>
    <row r="31" spans="1:16" x14ac:dyDescent="0.2">
      <c r="A31" s="78" t="str">
        <v>Latex Handschuhe Gr.XL ungepudert</v>
      </c>
      <c r="B31" s="78" t="str">
        <v>Paket</v>
      </c>
      <c r="C31" s="78">
        <v>0</v>
      </c>
      <c r="D31" s="78">
        <v>0</v>
      </c>
      <c r="E31" s="78">
        <v>0</v>
      </c>
      <c r="F31" s="78" t="str">
        <v>TL</v>
      </c>
      <c r="G31" s="78" t="b">
        <v>1</v>
      </c>
      <c r="J31" s="79" t="str">
        <v>Nürnberger Rostbratwürstchen</v>
      </c>
      <c r="K31" s="79" t="str">
        <v>Paket</v>
      </c>
      <c r="L31" s="79">
        <v>0</v>
      </c>
      <c r="M31" s="79">
        <v>0</v>
      </c>
      <c r="N31" s="79">
        <v>0</v>
      </c>
      <c r="O31" s="79" t="str">
        <v>KL</v>
      </c>
      <c r="P31" s="79" t="b">
        <v>1</v>
      </c>
    </row>
    <row r="32" spans="1:16" x14ac:dyDescent="0.2">
      <c r="A32" s="78" t="str">
        <v>Madeira</v>
      </c>
      <c r="B32" s="78" t="str">
        <v>Flasche</v>
      </c>
      <c r="C32" s="78">
        <v>0</v>
      </c>
      <c r="D32" s="78">
        <v>0</v>
      </c>
      <c r="E32" s="78">
        <v>0</v>
      </c>
      <c r="F32" s="78" t="str">
        <v>TL</v>
      </c>
      <c r="G32" s="78" t="b">
        <v>1</v>
      </c>
      <c r="J32" s="79" t="str">
        <v>Obstsalat 10 L</v>
      </c>
      <c r="K32" s="79" t="str">
        <v>Eimer</v>
      </c>
      <c r="L32" s="79">
        <v>0</v>
      </c>
      <c r="M32" s="79">
        <v>0</v>
      </c>
      <c r="N32" s="79">
        <v>0</v>
      </c>
      <c r="O32" s="79" t="str">
        <v>KL</v>
      </c>
      <c r="P32" s="79" t="b">
        <v>1</v>
      </c>
    </row>
    <row r="33" spans="1:16" x14ac:dyDescent="0.2">
      <c r="A33" s="78" t="str">
        <v>Mais</v>
      </c>
      <c r="B33" s="78" t="str">
        <v>gr. Dose</v>
      </c>
      <c r="C33" s="78">
        <v>0</v>
      </c>
      <c r="D33" s="78">
        <v>0</v>
      </c>
      <c r="E33" s="78">
        <v>0</v>
      </c>
      <c r="F33" s="78" t="str">
        <v>TL</v>
      </c>
      <c r="G33" s="78" t="b">
        <v>1</v>
      </c>
      <c r="J33" s="79" t="str">
        <v>Ofenkartoffeln</v>
      </c>
      <c r="K33" s="79" t="str">
        <v>kl. Kiste</v>
      </c>
      <c r="L33" s="79">
        <v>0</v>
      </c>
      <c r="M33" s="79">
        <v>0</v>
      </c>
      <c r="N33" s="79">
        <v>0</v>
      </c>
      <c r="O33" s="79" t="str">
        <v>KL</v>
      </c>
      <c r="P33" s="79" t="b">
        <v>1</v>
      </c>
    </row>
    <row r="34" spans="1:16" x14ac:dyDescent="0.2">
      <c r="A34" s="78" t="str">
        <v>Mehl (405 oder 550)</v>
      </c>
      <c r="B34" s="78" t="str">
        <v>10x 1kg</v>
      </c>
      <c r="C34" s="78">
        <v>0</v>
      </c>
      <c r="D34" s="78">
        <v>0</v>
      </c>
      <c r="E34" s="78">
        <v>0</v>
      </c>
      <c r="F34" s="78" t="str">
        <v>TL</v>
      </c>
      <c r="G34" s="78" t="b">
        <v>1</v>
      </c>
      <c r="J34" s="79" t="str">
        <v>Peperoni</v>
      </c>
      <c r="K34" s="79" t="str">
        <v>gr. Eimer</v>
      </c>
      <c r="L34" s="79">
        <v>0</v>
      </c>
      <c r="M34" s="79">
        <v>0</v>
      </c>
      <c r="N34" s="79">
        <v>0</v>
      </c>
      <c r="O34" s="79" t="str">
        <v>KL</v>
      </c>
      <c r="P34" s="79" t="b">
        <v>1</v>
      </c>
    </row>
    <row r="35" spans="1:16" x14ac:dyDescent="0.2">
      <c r="A35" s="78" t="str">
        <v>Muskatnuss gemahlen</v>
      </c>
      <c r="B35" s="78" t="str">
        <v>Beutel</v>
      </c>
      <c r="C35" s="78">
        <v>0</v>
      </c>
      <c r="D35" s="78">
        <v>0</v>
      </c>
      <c r="E35" s="78">
        <v>0</v>
      </c>
      <c r="F35" s="78" t="str">
        <v>TL</v>
      </c>
      <c r="G35" s="78" t="b">
        <v>1</v>
      </c>
      <c r="J35" s="79" t="str">
        <v>Rinderfilet</v>
      </c>
      <c r="K35" s="79" t="str">
        <v>Stück</v>
      </c>
      <c r="L35" s="79">
        <v>0</v>
      </c>
      <c r="M35" s="79">
        <v>0</v>
      </c>
      <c r="N35" s="79">
        <v>0</v>
      </c>
      <c r="O35" s="79" t="str">
        <v>KL</v>
      </c>
      <c r="P35" s="79" t="b">
        <v>1</v>
      </c>
    </row>
    <row r="36" spans="1:16" x14ac:dyDescent="0.2">
      <c r="A36" s="78" t="str">
        <v>Nolly Prait</v>
      </c>
      <c r="B36" s="78" t="str">
        <v>Flasche</v>
      </c>
      <c r="C36" s="78">
        <v>0</v>
      </c>
      <c r="D36" s="78">
        <v>0</v>
      </c>
      <c r="E36" s="78">
        <v>0</v>
      </c>
      <c r="F36" s="78" t="str">
        <v>TL</v>
      </c>
      <c r="G36" s="78" t="b">
        <v>1</v>
      </c>
      <c r="J36" s="79" t="str">
        <v>Rinderhüfte</v>
      </c>
      <c r="K36" s="79" t="str">
        <v>Stück</v>
      </c>
      <c r="L36" s="79">
        <v>0</v>
      </c>
      <c r="M36" s="79">
        <v>0</v>
      </c>
      <c r="N36" s="79">
        <v>0</v>
      </c>
      <c r="O36" s="79" t="str">
        <v>KL</v>
      </c>
      <c r="P36" s="79" t="b">
        <v>1</v>
      </c>
    </row>
    <row r="37" spans="1:16" x14ac:dyDescent="0.2">
      <c r="A37" s="78" t="str">
        <v>Oliven Schwarz ohne Kern</v>
      </c>
      <c r="B37" s="78" t="str">
        <v>Dose</v>
      </c>
      <c r="C37" s="78">
        <v>0</v>
      </c>
      <c r="D37" s="78">
        <v>0</v>
      </c>
      <c r="E37" s="78">
        <v>0</v>
      </c>
      <c r="F37" s="78" t="str">
        <v>TL</v>
      </c>
      <c r="G37" s="78" t="b">
        <v>1</v>
      </c>
      <c r="J37" s="79" t="str">
        <v>Rote Beete (gegart, vakuum…)</v>
      </c>
      <c r="K37" s="79" t="str">
        <v>Paket</v>
      </c>
      <c r="L37" s="79">
        <v>0</v>
      </c>
      <c r="M37" s="79">
        <v>0</v>
      </c>
      <c r="N37" s="79">
        <v>0</v>
      </c>
      <c r="O37" s="79" t="str">
        <v>KL</v>
      </c>
      <c r="P37" s="79" t="b">
        <v>1</v>
      </c>
    </row>
    <row r="38" spans="1:16" x14ac:dyDescent="0.2">
      <c r="A38" s="78" t="str">
        <v>Olivenoel</v>
      </c>
      <c r="B38" s="78" t="str">
        <v>1 l</v>
      </c>
      <c r="C38" s="78">
        <v>0</v>
      </c>
      <c r="D38" s="78">
        <v>0</v>
      </c>
      <c r="E38" s="78">
        <v>10</v>
      </c>
      <c r="F38" s="78" t="str">
        <v>TL</v>
      </c>
      <c r="G38" s="78" t="b">
        <v>1</v>
      </c>
      <c r="J38" s="79" t="str">
        <v>Rumpsteak</v>
      </c>
      <c r="K38" s="79" t="str">
        <v>Stück</v>
      </c>
      <c r="L38" s="79">
        <v>0</v>
      </c>
      <c r="M38" s="79">
        <v>0</v>
      </c>
      <c r="N38" s="79">
        <v>0</v>
      </c>
      <c r="O38" s="79" t="str">
        <v>KL</v>
      </c>
      <c r="P38" s="79" t="b">
        <v>1</v>
      </c>
    </row>
    <row r="39" spans="1:16" x14ac:dyDescent="0.2">
      <c r="A39" s="78" t="str">
        <v>Penne</v>
      </c>
      <c r="B39" s="78" t="str">
        <v>Paket</v>
      </c>
      <c r="C39" s="78">
        <v>0</v>
      </c>
      <c r="D39" s="78">
        <v>0</v>
      </c>
      <c r="E39" s="78">
        <v>0</v>
      </c>
      <c r="F39" s="78" t="str">
        <v>TL</v>
      </c>
      <c r="G39" s="78" t="b">
        <v>1</v>
      </c>
      <c r="J39" s="79" t="str">
        <v>Sambal Oelek</v>
      </c>
      <c r="K39" s="79" t="str">
        <v>gr. Glas</v>
      </c>
      <c r="L39" s="79">
        <v>0</v>
      </c>
      <c r="M39" s="79">
        <v>0</v>
      </c>
      <c r="N39" s="79">
        <v>0</v>
      </c>
      <c r="O39" s="79" t="str">
        <v>KL</v>
      </c>
      <c r="P39" s="79" t="b">
        <v>1</v>
      </c>
    </row>
    <row r="40" spans="1:16" x14ac:dyDescent="0.2">
      <c r="A40" s="78" t="str">
        <v>Peperonie</v>
      </c>
      <c r="B40" s="78" t="str">
        <v>Eimer</v>
      </c>
      <c r="C40" s="78">
        <v>0</v>
      </c>
      <c r="D40" s="78">
        <v>0</v>
      </c>
      <c r="E40" s="78">
        <v>0</v>
      </c>
      <c r="F40" s="78" t="str">
        <v>TL</v>
      </c>
      <c r="G40" s="78" t="b">
        <v>1</v>
      </c>
      <c r="J40" s="79" t="str">
        <v>Schmand</v>
      </c>
      <c r="K40" s="79" t="str">
        <v xml:space="preserve">1l </v>
      </c>
      <c r="L40" s="79">
        <v>0</v>
      </c>
      <c r="M40" s="79">
        <v>0</v>
      </c>
      <c r="N40" s="79">
        <v>4</v>
      </c>
      <c r="O40" s="79" t="str">
        <v>KL</v>
      </c>
      <c r="P40" s="79" t="b">
        <v>1</v>
      </c>
    </row>
    <row r="41" spans="1:16" x14ac:dyDescent="0.2">
      <c r="A41" s="78" t="str">
        <v>Pfeffer 2000Stk (Kleine Tüten)</v>
      </c>
      <c r="B41" s="78" t="str">
        <v>Karton</v>
      </c>
      <c r="C41" s="78">
        <v>0</v>
      </c>
      <c r="D41" s="78">
        <v>0</v>
      </c>
      <c r="E41" s="78">
        <v>0</v>
      </c>
      <c r="F41" s="78" t="str">
        <v>TL</v>
      </c>
      <c r="G41" s="78" t="b">
        <v>1</v>
      </c>
      <c r="J41" s="79" t="str">
        <v>Schweinefilet</v>
      </c>
      <c r="K41" s="79" t="str">
        <v>kg</v>
      </c>
      <c r="L41" s="79">
        <v>0</v>
      </c>
      <c r="M41" s="79">
        <v>0</v>
      </c>
      <c r="N41" s="79">
        <v>0</v>
      </c>
      <c r="O41" s="79" t="str">
        <v>KL</v>
      </c>
      <c r="P41" s="79" t="b">
        <v>1</v>
      </c>
    </row>
    <row r="42" spans="1:16" x14ac:dyDescent="0.2">
      <c r="A42" s="78" t="str">
        <v>Pfeffer, weiß, gemahlen</v>
      </c>
      <c r="B42" s="78" t="str">
        <v>Beutel</v>
      </c>
      <c r="C42" s="78">
        <v>0</v>
      </c>
      <c r="D42" s="78">
        <v>0</v>
      </c>
      <c r="E42" s="78">
        <v>0</v>
      </c>
      <c r="F42" s="78" t="str">
        <v>TL</v>
      </c>
      <c r="G42" s="78" t="b">
        <v>1</v>
      </c>
      <c r="J42" s="79" t="str">
        <v>Schweinekrustenbraten (die kleinen!)</v>
      </c>
      <c r="K42" s="79" t="str">
        <v>Stück</v>
      </c>
      <c r="L42" s="79">
        <v>0</v>
      </c>
      <c r="M42" s="79">
        <v>0</v>
      </c>
      <c r="N42" s="79">
        <v>0</v>
      </c>
      <c r="O42" s="79" t="str">
        <v>KL</v>
      </c>
      <c r="P42" s="79" t="b">
        <v>1</v>
      </c>
    </row>
    <row r="43" spans="1:16" x14ac:dyDescent="0.2">
      <c r="A43" s="78" t="str">
        <v>Pflanzenöl</v>
      </c>
      <c r="B43" s="78" t="str">
        <v>10l. Kanister</v>
      </c>
      <c r="C43" s="78">
        <v>0</v>
      </c>
      <c r="D43" s="78">
        <v>0</v>
      </c>
      <c r="E43" s="78">
        <v>3</v>
      </c>
      <c r="F43" s="78" t="str">
        <v>TL</v>
      </c>
      <c r="G43" s="78" t="b">
        <v>1</v>
      </c>
      <c r="J43" s="79" t="str">
        <v>Schweinenacken</v>
      </c>
      <c r="K43" s="79" t="str">
        <v>kg</v>
      </c>
      <c r="L43" s="79">
        <v>0</v>
      </c>
      <c r="M43" s="79">
        <v>0</v>
      </c>
      <c r="N43" s="79">
        <v>0</v>
      </c>
      <c r="O43" s="79" t="str">
        <v>KL</v>
      </c>
      <c r="P43" s="79" t="b">
        <v>1</v>
      </c>
    </row>
    <row r="44" spans="1:16" x14ac:dyDescent="0.2">
      <c r="A44" s="78" t="str">
        <v>Pinienkerne</v>
      </c>
      <c r="B44" s="78" t="str">
        <v>1 kg Beutel</v>
      </c>
      <c r="C44" s="78">
        <v>0</v>
      </c>
      <c r="D44" s="78">
        <v>0</v>
      </c>
      <c r="E44" s="78">
        <v>0</v>
      </c>
      <c r="F44" s="78" t="str">
        <v>TL</v>
      </c>
      <c r="G44" s="78" t="b">
        <v>1</v>
      </c>
      <c r="J44" s="79" t="str">
        <v>Schweinerücken</v>
      </c>
      <c r="K44" s="79" t="str">
        <v>kg</v>
      </c>
      <c r="L44" s="79">
        <v>0</v>
      </c>
      <c r="M44" s="79">
        <v>0</v>
      </c>
      <c r="N44" s="79">
        <v>0</v>
      </c>
      <c r="O44" s="79" t="str">
        <v>KL</v>
      </c>
      <c r="P44" s="79" t="b">
        <v>1</v>
      </c>
    </row>
    <row r="45" spans="1:16" x14ac:dyDescent="0.2">
      <c r="A45" s="78" t="str">
        <v>Portwein</v>
      </c>
      <c r="B45" s="78" t="str">
        <v>1l. Flasche</v>
      </c>
      <c r="C45" s="78">
        <v>2</v>
      </c>
      <c r="D45" s="78">
        <v>4</v>
      </c>
      <c r="E45" s="78">
        <v>0</v>
      </c>
      <c r="F45" s="78" t="str">
        <v>TL</v>
      </c>
      <c r="G45" s="78" t="b">
        <v>1</v>
      </c>
      <c r="J45" s="79" t="str">
        <v>Serano Schinken</v>
      </c>
      <c r="K45" s="79" t="str">
        <v>Paket</v>
      </c>
      <c r="L45" s="79">
        <v>0</v>
      </c>
      <c r="M45" s="79">
        <v>0</v>
      </c>
      <c r="N45" s="79">
        <v>0</v>
      </c>
      <c r="O45" s="79" t="str">
        <v>KL</v>
      </c>
      <c r="P45" s="79" t="b">
        <v>1</v>
      </c>
    </row>
    <row r="46" spans="1:16" x14ac:dyDescent="0.2">
      <c r="A46" s="78" t="str">
        <v>Printen</v>
      </c>
      <c r="B46" s="78" t="str">
        <v>kg</v>
      </c>
      <c r="C46" s="78">
        <v>0</v>
      </c>
      <c r="D46" s="78">
        <v>0</v>
      </c>
      <c r="E46" s="78">
        <v>0</v>
      </c>
      <c r="F46" s="78" t="str">
        <v>TL</v>
      </c>
      <c r="G46" s="78" t="b">
        <v>1</v>
      </c>
      <c r="J46" s="79" t="str">
        <v>Sonnenblumenkerne</v>
      </c>
      <c r="K46" s="79" t="str">
        <v>kg</v>
      </c>
      <c r="L46" s="79">
        <v>0</v>
      </c>
      <c r="M46" s="79">
        <v>0</v>
      </c>
      <c r="N46" s="79">
        <v>0</v>
      </c>
      <c r="O46" s="79" t="str">
        <v>KL</v>
      </c>
      <c r="P46" s="79" t="b">
        <v>1</v>
      </c>
    </row>
    <row r="47" spans="1:16" x14ac:dyDescent="0.2">
      <c r="A47" s="78" t="str">
        <v>Puderzucker</v>
      </c>
      <c r="B47" s="78" t="str">
        <v>kg</v>
      </c>
      <c r="C47" s="78">
        <v>0</v>
      </c>
      <c r="D47" s="78">
        <v>0</v>
      </c>
      <c r="E47" s="78">
        <v>1</v>
      </c>
      <c r="F47" s="78" t="str">
        <v>TL</v>
      </c>
      <c r="G47" s="78" t="b">
        <v>1</v>
      </c>
      <c r="J47" s="79" t="str">
        <v>Spätzle (frisch)</v>
      </c>
      <c r="K47" s="79" t="str">
        <v>Beutel</v>
      </c>
      <c r="L47" s="79">
        <v>0</v>
      </c>
      <c r="M47" s="79">
        <v>0</v>
      </c>
      <c r="N47" s="79">
        <v>3</v>
      </c>
      <c r="O47" s="79" t="str">
        <v>KL</v>
      </c>
      <c r="P47" s="79" t="b">
        <v>1</v>
      </c>
    </row>
    <row r="48" spans="1:16" x14ac:dyDescent="0.2">
      <c r="A48" s="78" t="str">
        <v>Risotto</v>
      </c>
      <c r="B48" s="78" t="str">
        <v>Beutel</v>
      </c>
      <c r="C48" s="78">
        <v>0</v>
      </c>
      <c r="D48" s="78">
        <v>0</v>
      </c>
      <c r="E48" s="78">
        <v>0</v>
      </c>
      <c r="F48" s="78" t="str">
        <v>TL</v>
      </c>
      <c r="G48" s="78" t="b">
        <v>1</v>
      </c>
      <c r="J48" s="79" t="str">
        <v>Sprühsahne Debic</v>
      </c>
      <c r="K48" s="79" t="str">
        <v>Flasche</v>
      </c>
      <c r="L48" s="79">
        <v>0</v>
      </c>
      <c r="M48" s="79">
        <v>0</v>
      </c>
      <c r="N48" s="79">
        <v>0</v>
      </c>
      <c r="O48" s="79" t="str">
        <v>KL</v>
      </c>
      <c r="P48" s="79" t="b">
        <v>1</v>
      </c>
    </row>
    <row r="49" spans="1:16" x14ac:dyDescent="0.2">
      <c r="A49" s="78" t="str">
        <v>Rohzucker</v>
      </c>
      <c r="B49" s="78" t="str">
        <v>kg</v>
      </c>
      <c r="C49" s="78">
        <v>0</v>
      </c>
      <c r="D49" s="78">
        <v>0</v>
      </c>
      <c r="E49" s="78">
        <v>0</v>
      </c>
      <c r="F49" s="78" t="str">
        <v>TL</v>
      </c>
      <c r="G49" s="78" t="b">
        <v>1</v>
      </c>
      <c r="J49" s="79" t="str">
        <v>Tagliatelle (Ristorante, Rana)</v>
      </c>
      <c r="K49" s="79" t="str">
        <v>Beutel</v>
      </c>
      <c r="L49" s="79">
        <v>0</v>
      </c>
      <c r="M49" s="79">
        <v>0</v>
      </c>
      <c r="N49" s="79">
        <v>0</v>
      </c>
      <c r="O49" s="79" t="str">
        <v>KL</v>
      </c>
      <c r="P49" s="79" t="b">
        <v>1</v>
      </c>
    </row>
    <row r="50" spans="1:16" x14ac:dyDescent="0.2">
      <c r="A50" s="78" t="str">
        <v>Röstzwiebeln</v>
      </c>
      <c r="B50" s="78" t="str">
        <v>Beutel</v>
      </c>
      <c r="C50" s="78">
        <v>0</v>
      </c>
      <c r="D50" s="78">
        <v>0</v>
      </c>
      <c r="E50" s="78">
        <v>0</v>
      </c>
      <c r="F50" s="78" t="str">
        <v>TL</v>
      </c>
      <c r="G50" s="78" t="b">
        <v>1</v>
      </c>
      <c r="J50" s="79" t="str">
        <v>Tetra Vollei</v>
      </c>
      <c r="K50" s="79" t="str">
        <v>1 Liter</v>
      </c>
      <c r="L50" s="79">
        <v>0</v>
      </c>
      <c r="M50" s="79">
        <v>0</v>
      </c>
      <c r="N50" s="79">
        <v>0</v>
      </c>
      <c r="O50" s="79" t="str">
        <v>KL</v>
      </c>
      <c r="P50" s="79" t="b">
        <v>1</v>
      </c>
    </row>
    <row r="51" spans="1:16" x14ac:dyDescent="0.2">
      <c r="A51" s="78" t="str">
        <v>Rote Beete (Streifen)</v>
      </c>
      <c r="B51" s="78" t="str">
        <v>Dose!!!!</v>
      </c>
      <c r="C51" s="78">
        <v>0</v>
      </c>
      <c r="D51" s="78">
        <v>0</v>
      </c>
      <c r="E51" s="78">
        <v>0</v>
      </c>
      <c r="F51" s="78" t="str">
        <v>TL</v>
      </c>
      <c r="G51" s="78" t="b">
        <v>1</v>
      </c>
      <c r="J51" s="79" t="str">
        <v>Vanillesauce 1L</v>
      </c>
      <c r="K51" s="79" t="str">
        <v>Tetra</v>
      </c>
      <c r="L51" s="79">
        <v>0</v>
      </c>
      <c r="M51" s="79">
        <v>0</v>
      </c>
      <c r="N51" s="79">
        <v>0</v>
      </c>
      <c r="O51" s="79" t="str">
        <v>KL</v>
      </c>
      <c r="P51" s="79" t="b">
        <v>1</v>
      </c>
    </row>
    <row r="52" spans="1:16" x14ac:dyDescent="0.2">
      <c r="A52" s="78" t="str">
        <v>Rote Linsen</v>
      </c>
      <c r="B52" s="78" t="str">
        <v>5 kg Beutel</v>
      </c>
      <c r="C52" s="78">
        <v>0</v>
      </c>
      <c r="D52" s="78">
        <v>0</v>
      </c>
      <c r="E52" s="78">
        <v>0</v>
      </c>
      <c r="F52" s="78" t="str">
        <v>TL</v>
      </c>
      <c r="G52" s="78" t="b">
        <v>1</v>
      </c>
      <c r="J52" s="79" t="str">
        <v>Ziegenkäse mit Schimmelrand</v>
      </c>
      <c r="K52" s="79" t="str">
        <v>1 kg Stange</v>
      </c>
      <c r="L52" s="79">
        <v>0</v>
      </c>
      <c r="M52" s="79">
        <v>0</v>
      </c>
      <c r="N52" s="79">
        <v>0</v>
      </c>
      <c r="O52" s="79" t="str">
        <v>KL</v>
      </c>
      <c r="P52" s="79" t="b">
        <v>1</v>
      </c>
    </row>
    <row r="53" spans="1:16" x14ac:dyDescent="0.2">
      <c r="A53" s="78" t="str">
        <v>Sahne, haltbar</v>
      </c>
      <c r="B53" s="78" t="str">
        <v>1 l Tetra</v>
      </c>
      <c r="C53" s="78">
        <v>0</v>
      </c>
      <c r="D53" s="78">
        <v>0</v>
      </c>
      <c r="E53" s="78">
        <v>0</v>
      </c>
      <c r="F53" s="78" t="str">
        <v>TL</v>
      </c>
      <c r="G53" s="78" t="b">
        <v>1</v>
      </c>
    </row>
    <row r="54" spans="1:16" x14ac:dyDescent="0.2">
      <c r="A54" s="78" t="str">
        <v>Salz 2000Stk (Kleine Tüten)</v>
      </c>
      <c r="B54" s="78" t="str">
        <v>Karton</v>
      </c>
      <c r="C54" s="78">
        <v>0</v>
      </c>
      <c r="D54" s="78">
        <v>0</v>
      </c>
      <c r="E54" s="78">
        <v>0</v>
      </c>
      <c r="F54" s="78" t="str">
        <v>TL</v>
      </c>
      <c r="G54" s="78" t="b">
        <v>1</v>
      </c>
    </row>
    <row r="55" spans="1:16" x14ac:dyDescent="0.2">
      <c r="A55" s="78" t="str">
        <v>Sardellen</v>
      </c>
      <c r="B55" s="78" t="str">
        <v>Dose</v>
      </c>
      <c r="C55" s="78">
        <v>0</v>
      </c>
      <c r="D55" s="78">
        <v>0</v>
      </c>
      <c r="E55" s="78">
        <v>0</v>
      </c>
      <c r="F55" s="78" t="str">
        <v>TL</v>
      </c>
      <c r="G55" s="78" t="b">
        <v>1</v>
      </c>
    </row>
    <row r="56" spans="1:16" x14ac:dyDescent="0.2">
      <c r="A56" s="78" t="str">
        <v>Sauerkraut</v>
      </c>
      <c r="B56" s="78" t="str">
        <v>gr. Dose</v>
      </c>
      <c r="C56" s="78">
        <v>0</v>
      </c>
      <c r="D56" s="78">
        <v>0</v>
      </c>
      <c r="E56" s="78">
        <v>0</v>
      </c>
      <c r="F56" s="78" t="str">
        <v>TL</v>
      </c>
      <c r="G56" s="78" t="b">
        <v>1</v>
      </c>
    </row>
    <row r="57" spans="1:16" x14ac:dyDescent="0.2">
      <c r="A57" s="78" t="str">
        <v>Schnelldesinfektion</v>
      </c>
      <c r="B57" s="78" t="str">
        <v>Flasche</v>
      </c>
      <c r="C57" s="78">
        <v>0</v>
      </c>
      <c r="D57" s="78">
        <v>0</v>
      </c>
      <c r="E57" s="78">
        <v>0</v>
      </c>
      <c r="F57" s="78" t="str">
        <v>TL</v>
      </c>
      <c r="G57" s="78" t="b">
        <v>1</v>
      </c>
    </row>
    <row r="58" spans="1:16" x14ac:dyDescent="0.2">
      <c r="A58" s="78" t="str">
        <v>Schokoladensauce</v>
      </c>
      <c r="B58" s="78" t="str">
        <v>2 l</v>
      </c>
      <c r="C58" s="78">
        <v>0</v>
      </c>
      <c r="D58" s="78">
        <v>0</v>
      </c>
      <c r="E58" s="78">
        <v>0</v>
      </c>
      <c r="F58" s="78" t="str">
        <v>TL</v>
      </c>
      <c r="G58" s="78" t="b">
        <v>1</v>
      </c>
    </row>
    <row r="59" spans="1:16" x14ac:dyDescent="0.2">
      <c r="A59" s="78" t="str">
        <v>Schwarze pfefferkörner</v>
      </c>
      <c r="B59" s="78" t="str">
        <v>Beutel</v>
      </c>
      <c r="C59" s="78">
        <v>0</v>
      </c>
      <c r="D59" s="78">
        <v>0</v>
      </c>
      <c r="E59" s="78">
        <v>0</v>
      </c>
      <c r="F59" s="78" t="str">
        <v>TL</v>
      </c>
      <c r="G59" s="78" t="b">
        <v>1</v>
      </c>
    </row>
    <row r="60" spans="1:16" x14ac:dyDescent="0.2">
      <c r="A60" s="78" t="str">
        <v>Servietten (33 mal 33 - 1/8 Falz)</v>
      </c>
      <c r="B60" s="78" t="str">
        <v>Karton</v>
      </c>
      <c r="C60" s="78">
        <v>1</v>
      </c>
      <c r="D60" s="78">
        <v>2</v>
      </c>
      <c r="E60" s="78">
        <v>0</v>
      </c>
      <c r="F60" s="78" t="str">
        <v>TL</v>
      </c>
      <c r="G60" s="78" t="b">
        <v>1</v>
      </c>
    </row>
    <row r="61" spans="1:16" x14ac:dyDescent="0.2">
      <c r="A61" s="78" t="str">
        <v>Spaghetti (Barilla)</v>
      </c>
      <c r="B61" s="78" t="str">
        <v>5 kg</v>
      </c>
      <c r="C61" s="78">
        <v>0</v>
      </c>
      <c r="D61" s="78">
        <v>0</v>
      </c>
      <c r="E61" s="78">
        <v>0</v>
      </c>
      <c r="F61" s="78" t="str">
        <v>TL</v>
      </c>
      <c r="G61" s="78" t="b">
        <v>1</v>
      </c>
    </row>
    <row r="62" spans="1:16" x14ac:dyDescent="0.2">
      <c r="A62" s="78" t="str">
        <v>Spitzendeckchen (Rund)</v>
      </c>
      <c r="B62" s="78" t="str">
        <v>Paket</v>
      </c>
      <c r="C62" s="78">
        <v>0</v>
      </c>
      <c r="D62" s="78">
        <v>0</v>
      </c>
      <c r="E62" s="78">
        <v>0</v>
      </c>
      <c r="F62" s="78" t="str">
        <v>TL</v>
      </c>
      <c r="G62" s="78" t="b">
        <v>1</v>
      </c>
    </row>
    <row r="63" spans="1:16" x14ac:dyDescent="0.2">
      <c r="A63" s="78" t="str">
        <v>Spülmittel</v>
      </c>
      <c r="B63" s="78" t="str">
        <v>Flasche</v>
      </c>
      <c r="C63" s="78">
        <v>0</v>
      </c>
      <c r="D63" s="78">
        <v>0</v>
      </c>
      <c r="E63" s="78">
        <v>0</v>
      </c>
      <c r="F63" s="78" t="str">
        <v>TL</v>
      </c>
      <c r="G63" s="78" t="b">
        <v>1</v>
      </c>
    </row>
    <row r="64" spans="1:16" x14ac:dyDescent="0.2">
      <c r="A64" s="78" t="str">
        <v>Stiel-Kapern</v>
      </c>
      <c r="B64" s="78" t="str">
        <v>Glas</v>
      </c>
      <c r="C64" s="78">
        <v>0</v>
      </c>
      <c r="D64" s="78">
        <v>0</v>
      </c>
      <c r="E64" s="78">
        <v>0</v>
      </c>
      <c r="F64" s="78" t="str">
        <v>TL</v>
      </c>
      <c r="G64" s="78" t="b">
        <v>1</v>
      </c>
    </row>
    <row r="65" spans="1:7" x14ac:dyDescent="0.2">
      <c r="A65" s="78" t="str">
        <v>Tafelsenf</v>
      </c>
      <c r="B65" s="78" t="str">
        <v>Eimer</v>
      </c>
      <c r="C65" s="78">
        <v>0</v>
      </c>
      <c r="D65" s="78">
        <v>0</v>
      </c>
      <c r="E65" s="78">
        <v>0</v>
      </c>
      <c r="F65" s="78" t="str">
        <v>TL</v>
      </c>
      <c r="G65" s="78" t="b">
        <v>1</v>
      </c>
    </row>
    <row r="66" spans="1:7" x14ac:dyDescent="0.2">
      <c r="A66" s="78" t="str">
        <v>Thunfischdose groß (einzeln)</v>
      </c>
      <c r="B66" s="78" t="str">
        <v>Stück</v>
      </c>
      <c r="C66" s="78">
        <v>0</v>
      </c>
      <c r="D66" s="78">
        <v>0</v>
      </c>
      <c r="E66" s="78">
        <v>0</v>
      </c>
      <c r="F66" s="78" t="str">
        <v>TL</v>
      </c>
      <c r="G66" s="78" t="b">
        <v>1</v>
      </c>
    </row>
    <row r="67" spans="1:7" x14ac:dyDescent="0.2">
      <c r="A67" s="78" t="str">
        <v>Thunfischkonserven</v>
      </c>
      <c r="B67" s="78" t="str">
        <v>3/1 Dose</v>
      </c>
      <c r="C67" s="78">
        <v>2</v>
      </c>
      <c r="D67" s="78">
        <v>4</v>
      </c>
      <c r="E67" s="78">
        <v>0</v>
      </c>
      <c r="F67" s="78" t="str">
        <v>TL</v>
      </c>
      <c r="G67" s="78" t="b">
        <v>1</v>
      </c>
    </row>
    <row r="68" spans="1:7" x14ac:dyDescent="0.2">
      <c r="A68" s="78" t="str">
        <v>To go box</v>
      </c>
      <c r="B68" s="78" t="str">
        <v>Packung</v>
      </c>
      <c r="C68" s="78">
        <v>0</v>
      </c>
      <c r="D68" s="78">
        <v>0</v>
      </c>
      <c r="E68" s="78">
        <v>0</v>
      </c>
      <c r="F68" s="78" t="str">
        <v>TL</v>
      </c>
      <c r="G68" s="78" t="b">
        <v>1</v>
      </c>
    </row>
    <row r="69" spans="1:7" x14ac:dyDescent="0.2">
      <c r="A69" s="78" t="str">
        <v>Tomatenmark kleine Dose</v>
      </c>
      <c r="B69" s="78" t="str">
        <v>Dose</v>
      </c>
      <c r="C69" s="78">
        <v>0</v>
      </c>
      <c r="D69" s="78">
        <v>0</v>
      </c>
      <c r="E69" s="78">
        <v>0</v>
      </c>
      <c r="F69" s="78" t="str">
        <v>TL</v>
      </c>
      <c r="G69" s="78" t="b">
        <v>1</v>
      </c>
    </row>
    <row r="70" spans="1:7" x14ac:dyDescent="0.2">
      <c r="A70" s="78" t="str">
        <v>Trüffelpaste</v>
      </c>
      <c r="B70" s="78" t="str">
        <v>Glas</v>
      </c>
      <c r="C70" s="78">
        <v>0</v>
      </c>
      <c r="D70" s="78">
        <v>0</v>
      </c>
      <c r="E70" s="78">
        <v>0</v>
      </c>
      <c r="F70" s="78" t="str">
        <v>TL</v>
      </c>
      <c r="G70" s="78" t="b">
        <v>1</v>
      </c>
    </row>
    <row r="71" spans="1:7" x14ac:dyDescent="0.2">
      <c r="A71" s="78" t="str">
        <v>Vanilleschote (Wo mehrere drin sind)</v>
      </c>
      <c r="B71" s="78" t="str">
        <v>Dose</v>
      </c>
      <c r="C71" s="78">
        <v>0</v>
      </c>
      <c r="D71" s="78">
        <v>0</v>
      </c>
      <c r="E71" s="78">
        <v>0</v>
      </c>
      <c r="F71" s="78" t="str">
        <v>TL</v>
      </c>
      <c r="G71" s="78" t="b">
        <v>1</v>
      </c>
    </row>
    <row r="72" spans="1:7" x14ac:dyDescent="0.2">
      <c r="A72" s="78" t="str">
        <v>Vanillezucker</v>
      </c>
      <c r="B72" s="78" t="str">
        <v>kg</v>
      </c>
      <c r="C72" s="78">
        <v>0</v>
      </c>
      <c r="D72" s="78">
        <v>0</v>
      </c>
      <c r="E72" s="78">
        <v>0</v>
      </c>
      <c r="F72" s="78" t="str">
        <v>TL</v>
      </c>
      <c r="G72" s="78" t="b">
        <v>1</v>
      </c>
    </row>
    <row r="73" spans="1:7" x14ac:dyDescent="0.2">
      <c r="A73" s="78" t="str">
        <v>Weiße Bohnen (Butterbohnen)</v>
      </c>
      <c r="B73" s="78" t="str">
        <v>gr. Dose</v>
      </c>
      <c r="C73" s="78">
        <v>0</v>
      </c>
      <c r="D73" s="78">
        <v>0</v>
      </c>
      <c r="E73" s="78">
        <v>0</v>
      </c>
      <c r="F73" s="78" t="str">
        <v>TL</v>
      </c>
      <c r="G73" s="78" t="b">
        <v>1</v>
      </c>
    </row>
    <row r="74" spans="1:7" x14ac:dyDescent="0.2">
      <c r="A74" s="78" t="str">
        <v>Zucker</v>
      </c>
      <c r="B74" s="78" t="str">
        <v>kg</v>
      </c>
      <c r="C74" s="78">
        <v>0</v>
      </c>
      <c r="D74" s="78">
        <v>0</v>
      </c>
      <c r="E74" s="78">
        <v>0</v>
      </c>
      <c r="F74" s="78" t="str">
        <v>TL</v>
      </c>
      <c r="G74" s="78" t="b">
        <v>1</v>
      </c>
    </row>
    <row r="75" spans="1:7" x14ac:dyDescent="0.2">
      <c r="A75" s="78" t="str">
        <v>Zuckersticks</v>
      </c>
      <c r="B75" s="78" t="str">
        <v>Karton</v>
      </c>
      <c r="C75" s="78">
        <v>0</v>
      </c>
      <c r="D75" s="78">
        <v>0</v>
      </c>
      <c r="E75" s="78">
        <v>0</v>
      </c>
      <c r="F75" s="78" t="str">
        <v>TL</v>
      </c>
      <c r="G75" s="78" t="b">
        <v>1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xmlns="" id="ms-officescript%3A%2F%2Fonedrive_business_itemlink%2F01LFG66KOFNIDO42ZEQ5HI7JRV5H7UAKIA:ms-officescript%3A%2F%2Fonedrive_business_sharinglink%2Fu!aHR0cHM6Ly9rdXJ1bmRiYWRlZ2VzZWxsc2NoYWZ0LW15LnNoYXJlcG9pbnQuY29tLzp1Oi9nL3BlcnNvbmFsL2dhc3Ryb25vbWllX2Nhcm9sdXMtdGhlcm1lbl9kZS9JUURGYWdidWF5U0hUby1tTmVuX1FDa0FBUVNDbUdLUjhSSG5YYTN3RFk3eU10VQ"/>
</scriptIds>
</file>

<file path=customXml/itemProps1.xml><?xml version="1.0" encoding="utf-8"?>
<ds:datastoreItem xmlns:ds="http://schemas.openxmlformats.org/officeDocument/2006/customXml" ds:itemID="{BC1F5713-DF4E-4AA3-8D95-F2E79502D60F}">
  <ds:schemaRefs>
    <ds:schemaRef ds:uri="http://schemas.microsoft.com/office/extensibility/maker/v1.0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9</vt:i4>
      </vt:variant>
    </vt:vector>
  </HeadingPairs>
  <TitlesOfParts>
    <vt:vector size="13" baseType="lpstr">
      <vt:lpstr>Bestellung</vt:lpstr>
      <vt:lpstr>Liste</vt:lpstr>
      <vt:lpstr>Artikel</vt:lpstr>
      <vt:lpstr>Helfer</vt:lpstr>
      <vt:lpstr>Bestellung!Druckbereich</vt:lpstr>
      <vt:lpstr>Liste!Druckbereich</vt:lpstr>
      <vt:lpstr>hlpCountKL</vt:lpstr>
      <vt:lpstr>hlpCountTK</vt:lpstr>
      <vt:lpstr>hlpCountTL</vt:lpstr>
      <vt:lpstr>hlpTK</vt:lpstr>
      <vt:lpstr>hlpTL</vt:lpstr>
      <vt:lpstr>hpKL</vt:lpstr>
      <vt:lpstr>tblTrockenlager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 Stolz</dc:creator>
  <cp:lastModifiedBy>Gastronomie Carolus Thermen</cp:lastModifiedBy>
  <cp:lastPrinted>2026-04-01T13:44:41Z</cp:lastPrinted>
  <dcterms:created xsi:type="dcterms:W3CDTF">2000-05-11T06:28:54Z</dcterms:created>
  <dcterms:modified xsi:type="dcterms:W3CDTF">2026-04-01T13:44:44Z</dcterms:modified>
</cp:coreProperties>
</file>