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https://kurundbadegesellschaft-my.sharepoint.com/personal/gastronomie_carolus-thermen_de/Documents/Desktop/Gastronomie/_Bastian/Lieferanten/"/>
    </mc:Choice>
  </mc:AlternateContent>
  <xr:revisionPtr revIDLastSave="249" documentId="8_{A5F01E73-B779-452D-8DBA-75D3C73979B7}" xr6:coauthVersionLast="47" xr6:coauthVersionMax="47" xr10:uidLastSave="{6944EF58-CC81-4A58-B59E-9CBA052CB0BC}"/>
  <bookViews>
    <workbookView xWindow="-120" yWindow="-120" windowWidth="29040" windowHeight="15720" firstSheet="1" activeTab="1" xr2:uid="{E4EAF663-C275-44CF-A583-B4FBA0492987}"/>
  </bookViews>
  <sheets>
    <sheet name="Bestellung" sheetId="1" state="hidden" r:id="rId1"/>
    <sheet name="Liste" sheetId="4" r:id="rId2"/>
    <sheet name="Artikel" sheetId="2" r:id="rId3"/>
    <sheet name="Helper" sheetId="3" r:id="rId4"/>
  </sheets>
  <definedNames>
    <definedName name="_xlnm.Print_Area" localSheetId="0">Bestellung!$B$1:$H$50</definedName>
    <definedName name="_xlnm.Print_Area" localSheetId="1">Liste!$A$1:$H$47</definedName>
    <definedName name="hlpA">Helper!$A$1</definedName>
    <definedName name="hlpCountA">Helper!$H$1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3" l="1" a="1"/>
  <c r="H1" i="3" l="1"/>
  <c r="G12" i="1" s="1" a="1"/>
  <c r="G41" i="1" s="1"/>
  <c r="A1" i="3"/>
  <c r="A4" i="4" s="1" a="1"/>
  <c r="A4" i="4" s="1"/>
  <c r="B12" i="1" l="1" a="1"/>
  <c r="B40" i="1" s="1"/>
  <c r="F12" i="1" a="1"/>
  <c r="F15" i="1" s="1"/>
  <c r="C12" i="1" a="1"/>
  <c r="C43" i="1" s="1"/>
  <c r="G14" i="1"/>
  <c r="G23" i="1"/>
  <c r="G32" i="1"/>
  <c r="G12" i="1"/>
  <c r="G13" i="1"/>
  <c r="G24" i="1"/>
  <c r="G28" i="1"/>
  <c r="G42" i="1"/>
  <c r="G46" i="1"/>
  <c r="G21" i="1"/>
  <c r="G25" i="1"/>
  <c r="G39" i="1"/>
  <c r="G43" i="1"/>
  <c r="G18" i="1"/>
  <c r="G22" i="1"/>
  <c r="G36" i="1"/>
  <c r="G40" i="1"/>
  <c r="G37" i="1"/>
  <c r="G33" i="1"/>
  <c r="G19" i="1"/>
  <c r="G16" i="1"/>
  <c r="G30" i="1"/>
  <c r="G34" i="1"/>
  <c r="G27" i="1"/>
  <c r="G31" i="1"/>
  <c r="G45" i="1"/>
  <c r="G17" i="1"/>
  <c r="G26" i="1"/>
  <c r="G35" i="1"/>
  <c r="G44" i="1"/>
  <c r="G15" i="1"/>
  <c r="G20" i="1"/>
  <c r="G29" i="1"/>
  <c r="G38" i="1"/>
  <c r="B19" i="1" l="1"/>
  <c r="F28" i="1"/>
  <c r="B21" i="1"/>
  <c r="B30" i="1"/>
  <c r="F40" i="1"/>
  <c r="F22" i="1"/>
  <c r="B14" i="1"/>
  <c r="B34" i="1"/>
  <c r="F19" i="1"/>
  <c r="B42" i="1"/>
  <c r="B33" i="1"/>
  <c r="F45" i="1"/>
  <c r="F33" i="1"/>
  <c r="B22" i="1"/>
  <c r="B47" i="1"/>
  <c r="B41" i="1"/>
  <c r="F16" i="1"/>
  <c r="B24" i="1"/>
  <c r="B36" i="1"/>
  <c r="B13" i="1"/>
  <c r="B35" i="1"/>
  <c r="B20" i="1"/>
  <c r="B46" i="1"/>
  <c r="B32" i="1"/>
  <c r="F42" i="1"/>
  <c r="B27" i="1"/>
  <c r="B18" i="1"/>
  <c r="F13" i="1"/>
  <c r="B26" i="1"/>
  <c r="B43" i="1"/>
  <c r="B31" i="1"/>
  <c r="B37" i="1"/>
  <c r="B23" i="1"/>
  <c r="F24" i="1"/>
  <c r="B15" i="1"/>
  <c r="B12" i="1"/>
  <c r="F46" i="1"/>
  <c r="B25" i="1"/>
  <c r="B16" i="1"/>
  <c r="B44" i="1"/>
  <c r="F31" i="1"/>
  <c r="B28" i="1"/>
  <c r="F44" i="1"/>
  <c r="B39" i="1"/>
  <c r="B45" i="1"/>
  <c r="F12" i="1"/>
  <c r="F14" i="1"/>
  <c r="F43" i="1"/>
  <c r="B38" i="1"/>
  <c r="B29" i="1"/>
  <c r="B17" i="1"/>
  <c r="C19" i="1"/>
  <c r="C45" i="1"/>
  <c r="C30" i="1"/>
  <c r="C36" i="1"/>
  <c r="C16" i="1"/>
  <c r="C38" i="1"/>
  <c r="C15" i="1"/>
  <c r="C29" i="1"/>
  <c r="C12" i="1"/>
  <c r="C46" i="1"/>
  <c r="F26" i="1"/>
  <c r="F30" i="1"/>
  <c r="C35" i="1"/>
  <c r="C20" i="1"/>
  <c r="C33" i="1"/>
  <c r="C14" i="1"/>
  <c r="F32" i="1"/>
  <c r="F27" i="1"/>
  <c r="F29" i="1"/>
  <c r="C25" i="1"/>
  <c r="F37" i="1"/>
  <c r="C37" i="1"/>
  <c r="F17" i="1"/>
  <c r="F21" i="1"/>
  <c r="C24" i="1"/>
  <c r="C41" i="1"/>
  <c r="C26" i="1"/>
  <c r="C39" i="1"/>
  <c r="F23" i="1"/>
  <c r="F18" i="1"/>
  <c r="F20" i="1"/>
  <c r="C22" i="1"/>
  <c r="C17" i="1"/>
  <c r="C23" i="1"/>
  <c r="C47" i="1"/>
  <c r="C32" i="1"/>
  <c r="C34" i="1"/>
  <c r="C28" i="1"/>
  <c r="C21" i="1"/>
  <c r="C31" i="1"/>
  <c r="C40" i="1"/>
  <c r="F34" i="1"/>
  <c r="F35" i="1"/>
  <c r="F39" i="1"/>
  <c r="F25" i="1"/>
  <c r="C42" i="1"/>
  <c r="C27" i="1"/>
  <c r="C44" i="1"/>
  <c r="C18" i="1"/>
  <c r="F41" i="1"/>
  <c r="F36" i="1"/>
  <c r="F38" i="1"/>
  <c r="C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<sst xmlns="http://schemas.openxmlformats.org/spreadsheetml/2006/main" count="161" uniqueCount="72">
  <si>
    <t>Bestelliste</t>
  </si>
  <si>
    <t>Lieferant :</t>
  </si>
  <si>
    <t>Besteller :</t>
  </si>
  <si>
    <t>Passstraße 79</t>
  </si>
  <si>
    <t>52070 Aachen</t>
  </si>
  <si>
    <t>Artikel</t>
  </si>
  <si>
    <t>Einheit</t>
  </si>
  <si>
    <t>Menge</t>
  </si>
  <si>
    <t>Feigen</t>
  </si>
  <si>
    <t xml:space="preserve"> </t>
  </si>
  <si>
    <t>Carolus Thermen Gastronomie</t>
  </si>
  <si>
    <t>Fax : 0241 / 18274275</t>
  </si>
  <si>
    <t>Mobil : 0160 / 8862927</t>
  </si>
  <si>
    <t>Tel : 0241 / 18274630</t>
  </si>
  <si>
    <t>Liefertag</t>
  </si>
  <si>
    <t>Gebinde</t>
  </si>
  <si>
    <t>Aktiv</t>
  </si>
  <si>
    <t>Min</t>
  </si>
  <si>
    <t>Max</t>
  </si>
  <si>
    <t>Lager</t>
  </si>
  <si>
    <t>GASTRO SERVICE</t>
  </si>
  <si>
    <t>Stk</t>
  </si>
  <si>
    <t>Btl</t>
  </si>
  <si>
    <t>Ktn</t>
  </si>
  <si>
    <t>KL</t>
  </si>
  <si>
    <t>TK</t>
  </si>
  <si>
    <t>TL</t>
  </si>
  <si>
    <t>Kokosmilch</t>
  </si>
  <si>
    <t>Philadelphia</t>
  </si>
  <si>
    <t>Grana Padano</t>
  </si>
  <si>
    <t>Eis, Vanille</t>
  </si>
  <si>
    <t>Eis, Schoko</t>
  </si>
  <si>
    <t>Eis, Erdbeer</t>
  </si>
  <si>
    <t>Eis, Sorbet, Passionsfrucht</t>
  </si>
  <si>
    <t>Eis, Sorbet, Cassis</t>
  </si>
  <si>
    <t>Eis, Sorbet, Zitronen</t>
  </si>
  <si>
    <t>Backhendl</t>
  </si>
  <si>
    <t>Lachs 150g Pt.</t>
  </si>
  <si>
    <t>Guacamole Supreme</t>
  </si>
  <si>
    <t>Media Gallega</t>
  </si>
  <si>
    <t>Belgische Zuckerwaffel</t>
  </si>
  <si>
    <t>Linsen Quinoa Salat</t>
  </si>
  <si>
    <t>Obstsalat</t>
  </si>
  <si>
    <t>Carpaccio</t>
  </si>
  <si>
    <t>Salat Majo Tube</t>
  </si>
  <si>
    <t>Sweet Chili</t>
  </si>
  <si>
    <t>Pesto Rosso</t>
  </si>
  <si>
    <t>Pesto Verde, Basilikum 1kg</t>
  </si>
  <si>
    <t>Mondamin hell</t>
  </si>
  <si>
    <t>Mondamin dunkel</t>
  </si>
  <si>
    <t>Kalamata Oliven</t>
  </si>
  <si>
    <t>Blütenhonig Spender</t>
  </si>
  <si>
    <t>Reis, Basmati</t>
  </si>
  <si>
    <t>Reis, Risotto</t>
  </si>
  <si>
    <t>Siegelrandbeutel 160x240</t>
  </si>
  <si>
    <t>Siegelrandbeutel 150x250</t>
  </si>
  <si>
    <t>Siegelrandbeutel 250x300</t>
  </si>
  <si>
    <t>Knoblauch, gehackt</t>
  </si>
  <si>
    <t>Cous cous 1kg</t>
  </si>
  <si>
    <t>Noilly Prat</t>
  </si>
  <si>
    <t>Bagel Sesam</t>
  </si>
  <si>
    <t>Kapern fines, 720ml</t>
  </si>
  <si>
    <t>Croutons, Kräuter</t>
  </si>
  <si>
    <t>Rübensirup, Grafschafter Goldsaft</t>
  </si>
  <si>
    <t>Eimer</t>
  </si>
  <si>
    <t>Burger, Angus</t>
  </si>
  <si>
    <t>Burger, Crunchy Chicken</t>
  </si>
  <si>
    <t>Burger, Dinkel-</t>
  </si>
  <si>
    <t>Portionen Tomatenketchup</t>
  </si>
  <si>
    <t>Portionen Majo</t>
  </si>
  <si>
    <t>Portionen Senf</t>
  </si>
  <si>
    <t>TransGourmet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</si>
</sst>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yy"/>
  </numFmts>
  <fonts count="22" x14ac:knownFonts="1">
    <font>
      <sz val="10"/>
      <name val="Arial"/>
    </font>
    <font>
      <b/>
      <sz val="10"/>
      <name val="Arial"/>
      <family val="2"/>
    </font>
    <font>
      <b/>
      <i/>
      <sz val="14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i/>
      <u/>
      <sz val="14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i/>
      <u/>
      <sz val="16"/>
      <name val="Arial"/>
      <family val="2"/>
    </font>
    <font>
      <b/>
      <i/>
      <sz val="11"/>
      <name val="Arial"/>
      <family val="2"/>
    </font>
    <font>
      <sz val="14"/>
      <name val="Arial"/>
      <family val="2"/>
    </font>
    <font>
      <b/>
      <u/>
      <sz val="16"/>
      <name val="Arial"/>
      <family val="2"/>
    </font>
    <font>
      <b/>
      <sz val="16"/>
      <name val="Arial"/>
      <family val="2"/>
    </font>
    <font>
      <sz val="12"/>
      <name val="Arial"/>
      <family val="2"/>
    </font>
    <font>
      <b/>
      <sz val="20"/>
      <name val="Arial"/>
      <family val="2"/>
    </font>
    <font>
      <b/>
      <sz val="18"/>
      <name val="Arial"/>
      <family val="2"/>
    </font>
    <font>
      <b/>
      <sz val="20"/>
      <name val="Calibri"/>
      <family val="2"/>
      <scheme val="minor"/>
    </font>
    <font>
      <sz val="14"/>
      <name val="Calibri"/>
      <family val="2"/>
      <scheme val="minor"/>
    </font>
    <font>
      <sz val="10"/>
      <name val="Calibri"/>
      <family val="2"/>
      <scheme val="minor"/>
    </font>
    <font>
      <b/>
      <sz val="14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theme="9" tint="0.79998168889431442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0" fillId="0" borderId="1" xfId="0" applyBorder="1"/>
    <xf numFmtId="0" fontId="0" fillId="0" borderId="2" xfId="0" applyBorder="1"/>
    <xf numFmtId="0" fontId="3" fillId="0" borderId="2" xfId="0" applyFont="1" applyBorder="1" applyAlignment="1">
      <alignment horizontal="left"/>
    </xf>
    <xf numFmtId="164" fontId="0" fillId="0" borderId="0" xfId="0" applyNumberFormat="1"/>
    <xf numFmtId="0" fontId="5" fillId="0" borderId="0" xfId="0" applyFont="1"/>
    <xf numFmtId="0" fontId="0" fillId="3" borderId="0" xfId="0" applyFill="1" applyProtection="1">
      <protection locked="0"/>
    </xf>
    <xf numFmtId="0" fontId="0" fillId="3" borderId="3" xfId="0" applyFill="1" applyBorder="1" applyProtection="1">
      <protection locked="0"/>
    </xf>
    <xf numFmtId="0" fontId="17" fillId="0" borderId="4" xfId="0" applyFont="1" applyBorder="1" applyProtection="1">
      <protection locked="0"/>
    </xf>
    <xf numFmtId="0" fontId="18" fillId="0" borderId="5" xfId="0" applyFont="1" applyBorder="1" applyProtection="1">
      <protection locked="0"/>
    </xf>
    <xf numFmtId="0" fontId="19" fillId="0" borderId="6" xfId="0" applyFont="1" applyBorder="1" applyProtection="1">
      <protection locked="0"/>
    </xf>
    <xf numFmtId="0" fontId="18" fillId="0" borderId="7" xfId="0" applyFont="1" applyBorder="1" applyProtection="1">
      <protection locked="0"/>
    </xf>
    <xf numFmtId="0" fontId="18" fillId="0" borderId="8" xfId="0" applyFont="1" applyBorder="1" applyProtection="1">
      <protection locked="0"/>
    </xf>
    <xf numFmtId="0" fontId="19" fillId="0" borderId="9" xfId="0" applyFont="1" applyBorder="1" applyProtection="1">
      <protection locked="0"/>
    </xf>
    <xf numFmtId="0" fontId="18" fillId="0" borderId="10" xfId="0" applyFont="1" applyBorder="1" applyProtection="1">
      <protection locked="0"/>
    </xf>
    <xf numFmtId="0" fontId="18" fillId="0" borderId="11" xfId="0" applyFont="1" applyBorder="1" applyProtection="1">
      <protection locked="0"/>
    </xf>
    <xf numFmtId="0" fontId="0" fillId="0" borderId="12" xfId="0" applyBorder="1" applyProtection="1">
      <protection locked="0"/>
    </xf>
    <xf numFmtId="0" fontId="18" fillId="0" borderId="13" xfId="0" applyFont="1" applyBorder="1" applyProtection="1">
      <protection locked="0"/>
    </xf>
    <xf numFmtId="0" fontId="18" fillId="0" borderId="14" xfId="0" applyFont="1" applyBorder="1" applyProtection="1">
      <protection locked="0"/>
    </xf>
    <xf numFmtId="0" fontId="0" fillId="0" borderId="15" xfId="0" applyBorder="1" applyProtection="1">
      <protection locked="0"/>
    </xf>
    <xf numFmtId="0" fontId="18" fillId="0" borderId="16" xfId="0" applyFont="1" applyBorder="1" applyProtection="1">
      <protection locked="0"/>
    </xf>
    <xf numFmtId="0" fontId="18" fillId="0" borderId="17" xfId="0" applyFont="1" applyBorder="1" applyProtection="1">
      <protection locked="0"/>
    </xf>
    <xf numFmtId="0" fontId="0" fillId="0" borderId="18" xfId="0" applyBorder="1" applyProtection="1">
      <protection locked="0"/>
    </xf>
    <xf numFmtId="0" fontId="18" fillId="0" borderId="0" xfId="0" applyFont="1" applyProtection="1">
      <protection locked="0"/>
    </xf>
    <xf numFmtId="0" fontId="0" fillId="0" borderId="0" xfId="0" applyProtection="1">
      <protection locked="0"/>
    </xf>
    <xf numFmtId="0" fontId="20" fillId="0" borderId="19" xfId="0" applyFont="1" applyBorder="1" applyProtection="1">
      <protection locked="0"/>
    </xf>
    <xf numFmtId="0" fontId="20" fillId="0" borderId="20" xfId="0" applyFont="1" applyBorder="1" applyProtection="1">
      <protection locked="0"/>
    </xf>
    <xf numFmtId="0" fontId="3" fillId="0" borderId="1" xfId="0" applyFont="1" applyBorder="1" applyAlignment="1" applyProtection="1">
      <alignment horizontal="left"/>
      <protection locked="0"/>
    </xf>
    <xf numFmtId="0" fontId="1" fillId="0" borderId="0" xfId="0" applyFont="1" applyAlignment="1" applyProtection="1">
      <alignment horizontal="left"/>
      <protection locked="0"/>
    </xf>
    <xf numFmtId="0" fontId="3" fillId="0" borderId="0" xfId="0" applyFont="1" applyAlignment="1" applyProtection="1">
      <alignment horizontal="left"/>
      <protection locked="0"/>
    </xf>
    <xf numFmtId="0" fontId="5" fillId="0" borderId="0" xfId="0" applyFont="1" applyProtection="1">
      <protection locked="0"/>
    </xf>
    <xf numFmtId="0" fontId="5" fillId="0" borderId="24" xfId="0" applyFont="1" applyBorder="1" applyProtection="1"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2" fillId="0" borderId="0" xfId="0" applyFont="1" applyProtection="1">
      <protection locked="0"/>
    </xf>
    <xf numFmtId="0" fontId="10" fillId="0" borderId="0" xfId="0" applyFont="1" applyProtection="1">
      <protection locked="0"/>
    </xf>
    <xf numFmtId="0" fontId="1" fillId="0" borderId="0" xfId="0" applyFont="1" applyProtection="1">
      <protection locked="0"/>
    </xf>
    <xf numFmtId="0" fontId="0" fillId="0" borderId="24" xfId="0" applyBorder="1" applyProtection="1">
      <protection locked="0"/>
    </xf>
    <xf numFmtId="0" fontId="14" fillId="0" borderId="1" xfId="0" applyFont="1" applyBorder="1" applyAlignment="1" applyProtection="1">
      <alignment horizontal="left"/>
      <protection locked="0"/>
    </xf>
    <xf numFmtId="0" fontId="14" fillId="0" borderId="0" xfId="0" applyFont="1" applyProtection="1">
      <protection locked="0"/>
    </xf>
    <xf numFmtId="0" fontId="8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6" fillId="0" borderId="1" xfId="0" applyFont="1" applyBorder="1" applyAlignment="1" applyProtection="1">
      <alignment horizontal="center"/>
      <protection locked="0"/>
    </xf>
    <xf numFmtId="16" fontId="1" fillId="0" borderId="0" xfId="0" applyNumberFormat="1" applyFont="1" applyProtection="1">
      <protection locked="0"/>
    </xf>
    <xf numFmtId="0" fontId="13" fillId="0" borderId="1" xfId="0" applyFont="1" applyBorder="1" applyProtection="1">
      <protection locked="0"/>
    </xf>
    <xf numFmtId="0" fontId="12" fillId="0" borderId="4" xfId="0" applyFont="1" applyBorder="1" applyProtection="1">
      <protection locked="0"/>
    </xf>
    <xf numFmtId="0" fontId="8" fillId="0" borderId="5" xfId="0" applyFont="1" applyBorder="1" applyProtection="1">
      <protection locked="0"/>
    </xf>
    <xf numFmtId="0" fontId="4" fillId="0" borderId="5" xfId="0" applyFont="1" applyBorder="1" applyProtection="1">
      <protection locked="0"/>
    </xf>
    <xf numFmtId="0" fontId="7" fillId="0" borderId="5" xfId="0" applyFont="1" applyBorder="1" applyProtection="1">
      <protection locked="0"/>
    </xf>
    <xf numFmtId="0" fontId="16" fillId="0" borderId="5" xfId="0" applyFont="1" applyBorder="1" applyProtection="1">
      <protection locked="0"/>
    </xf>
    <xf numFmtId="164" fontId="11" fillId="0" borderId="6" xfId="0" applyNumberFormat="1" applyFont="1" applyBorder="1" applyAlignment="1" applyProtection="1">
      <alignment horizontal="center"/>
      <protection locked="0"/>
    </xf>
    <xf numFmtId="0" fontId="0" fillId="0" borderId="7" xfId="0" applyBorder="1" applyProtection="1">
      <protection locked="0"/>
    </xf>
    <xf numFmtId="0" fontId="7" fillId="0" borderId="8" xfId="0" applyFont="1" applyBorder="1" applyProtection="1">
      <protection locked="0"/>
    </xf>
    <xf numFmtId="0" fontId="1" fillId="0" borderId="8" xfId="0" applyFont="1" applyBorder="1" applyProtection="1">
      <protection locked="0"/>
    </xf>
    <xf numFmtId="0" fontId="5" fillId="0" borderId="8" xfId="0" applyFont="1" applyBorder="1" applyProtection="1">
      <protection locked="0"/>
    </xf>
    <xf numFmtId="0" fontId="0" fillId="0" borderId="9" xfId="0" applyBorder="1" applyProtection="1">
      <protection locked="0"/>
    </xf>
    <xf numFmtId="0" fontId="9" fillId="0" borderId="25" xfId="0" applyFont="1" applyBorder="1" applyAlignment="1" applyProtection="1">
      <alignment horizontal="center"/>
      <protection locked="0"/>
    </xf>
    <xf numFmtId="0" fontId="9" fillId="2" borderId="8" xfId="0" applyFont="1" applyFill="1" applyBorder="1" applyAlignment="1" applyProtection="1">
      <alignment horizontal="center"/>
      <protection locked="0"/>
    </xf>
    <xf numFmtId="0" fontId="3" fillId="0" borderId="26" xfId="0" applyFont="1" applyBorder="1" applyAlignment="1" applyProtection="1">
      <alignment horizontal="left" vertical="center"/>
      <protection locked="0"/>
    </xf>
    <xf numFmtId="0" fontId="14" fillId="0" borderId="27" xfId="0" applyFont="1" applyBorder="1" applyAlignment="1" applyProtection="1">
      <alignment horizontal="left" vertical="center"/>
      <protection locked="0"/>
    </xf>
    <xf numFmtId="0" fontId="3" fillId="0" borderId="28" xfId="0" applyFont="1" applyBorder="1" applyAlignment="1" applyProtection="1">
      <alignment horizontal="center" vertical="center"/>
      <protection locked="0"/>
    </xf>
    <xf numFmtId="0" fontId="3" fillId="2" borderId="29" xfId="0" applyFont="1" applyFill="1" applyBorder="1" applyAlignment="1" applyProtection="1">
      <alignment horizontal="left" vertical="center"/>
      <protection locked="0"/>
    </xf>
    <xf numFmtId="0" fontId="3" fillId="0" borderId="30" xfId="0" applyFont="1" applyBorder="1" applyAlignment="1" applyProtection="1">
      <alignment horizontal="left" vertical="center"/>
      <protection locked="0"/>
    </xf>
    <xf numFmtId="0" fontId="14" fillId="0" borderId="31" xfId="0" applyFont="1" applyBorder="1" applyAlignment="1" applyProtection="1">
      <alignment horizontal="left" vertical="center"/>
      <protection locked="0"/>
    </xf>
    <xf numFmtId="0" fontId="3" fillId="0" borderId="32" xfId="0" applyFont="1" applyBorder="1" applyAlignment="1" applyProtection="1">
      <alignment horizontal="center" vertical="center"/>
      <protection locked="0"/>
    </xf>
    <xf numFmtId="0" fontId="3" fillId="2" borderId="33" xfId="0" applyFont="1" applyFill="1" applyBorder="1" applyAlignment="1" applyProtection="1">
      <alignment horizontal="left" vertical="center"/>
      <protection locked="0"/>
    </xf>
    <xf numFmtId="0" fontId="11" fillId="0" borderId="32" xfId="0" applyFont="1" applyBorder="1" applyAlignment="1" applyProtection="1">
      <alignment horizontal="center" vertical="center"/>
      <protection locked="0"/>
    </xf>
    <xf numFmtId="0" fontId="3" fillId="0" borderId="34" xfId="0" applyFont="1" applyBorder="1" applyAlignment="1" applyProtection="1">
      <alignment horizontal="left" vertical="center"/>
      <protection locked="0"/>
    </xf>
    <xf numFmtId="0" fontId="14" fillId="0" borderId="35" xfId="0" applyFont="1" applyBorder="1" applyAlignment="1" applyProtection="1">
      <alignment horizontal="left" vertical="center"/>
      <protection locked="0"/>
    </xf>
    <xf numFmtId="0" fontId="3" fillId="0" borderId="36" xfId="0" applyFont="1" applyBorder="1" applyAlignment="1" applyProtection="1">
      <alignment horizontal="center" vertical="center"/>
      <protection locked="0"/>
    </xf>
    <xf numFmtId="0" fontId="3" fillId="0" borderId="37" xfId="0" applyFont="1" applyBorder="1" applyAlignment="1" applyProtection="1">
      <alignment horizontal="left" vertical="center"/>
      <protection locked="0"/>
    </xf>
    <xf numFmtId="0" fontId="14" fillId="0" borderId="38" xfId="0" applyFont="1" applyBorder="1" applyAlignment="1" applyProtection="1">
      <alignment horizontal="left" vertical="center"/>
      <protection locked="0"/>
    </xf>
    <xf numFmtId="0" fontId="3" fillId="0" borderId="39" xfId="0" applyFont="1" applyBorder="1" applyAlignment="1" applyProtection="1">
      <alignment horizontal="center" vertical="center"/>
      <protection locked="0"/>
    </xf>
    <xf numFmtId="0" fontId="3" fillId="2" borderId="40" xfId="0" applyFont="1" applyFill="1" applyBorder="1" applyAlignment="1" applyProtection="1">
      <alignment horizontal="left" vertical="center"/>
      <protection locked="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15" fillId="0" borderId="23" xfId="0" applyFont="1" applyBorder="1" applyAlignment="1" applyProtection="1">
      <alignment horizontal="center"/>
      <protection locked="0"/>
    </xf>
  </cellXfs>
  <cellStyles count="1">
    <cellStyle name="Standard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alcChain" Target="calcChain.xml"/><Relationship Id="rId5" Type="http://schemas.openxmlformats.org/officeDocument/2006/relationships/theme" Target="theme/theme1.xml"/><Relationship Id="rId10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323850</xdr:colOff>
          <xdr:row>0</xdr:row>
          <xdr:rowOff>266700</xdr:rowOff>
        </xdr:from>
        <xdr:to>
          <xdr:col>12</xdr:col>
          <xdr:colOff>304800</xdr:colOff>
          <xdr:row>3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NEUE BESTELLUNG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D6598C-ACD3-4261-8A5A-88A52B4B4889}" name="tblArtikel" displayName="tblArtikel" ref="A1:G44" totalsRowShown="0">
  <autoFilter ref="A1:G44" xr:uid="{DA381BFA-2A0D-45ED-9B5C-32FB6EBD17FF}"/>
  <sortState xmlns:xlrd2="http://schemas.microsoft.com/office/spreadsheetml/2017/richdata2" ref="A2:G7">
    <sortCondition ref="A1:A7"/>
  </sortState>
  <tableColumns count="7">
    <tableColumn id="1" xr3:uid="{00000000-0010-0000-0100-000001000000}" name="Artikel"/>
    <tableColumn id="2" xr3:uid="{00000000-0010-0000-0100-000002000000}" name="Gebinde"/>
    <tableColumn id="6" xr3:uid="{00000000-0010-0000-0100-000006000000}" name="Min"/>
    <tableColumn id="5" xr3:uid="{00000000-0010-0000-0100-000005000000}" name="Max"/>
    <tableColumn id="3" xr3:uid="{00000000-0010-0000-0100-000003000000}" name="Menge"/>
    <tableColumn id="7" xr3:uid="{00000000-0010-0000-0100-000007000000}" name="Lager"/>
    <tableColumn id="4" xr3:uid="{00000000-0010-0000-0100-000004000000}" name="Aktiv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DB019-07C7-4549-A9D8-B29222150B4E}">
  <sheetPr codeName="Tabelle1">
    <tabColor rgb="FFFF0000"/>
    <pageSetUpPr fitToPage="1"/>
  </sheetPr>
  <dimension ref="A1:L50"/>
  <sheetViews>
    <sheetView topLeftCell="B1" zoomScale="85" zoomScaleNormal="85" workbookViewId="0">
      <selection activeCell="B9" sqref="B9"/>
    </sheetView>
  </sheetViews>
  <sheetFormatPr baseColWidth="10" defaultRowHeight="12.75" x14ac:dyDescent="0.2"/>
  <cols>
    <col min="1" max="1" width="1.85546875" hidden="1" customWidth="1"/>
    <col min="2" max="2" width="35.7109375" style="24" customWidth="1"/>
    <col min="3" max="3" width="17.7109375" style="24" customWidth="1"/>
    <col min="4" max="4" width="15.7109375" style="24" customWidth="1"/>
    <col min="5" max="5" width="5.85546875" style="24" hidden="1" customWidth="1"/>
    <col min="6" max="6" width="35.7109375" style="24" customWidth="1"/>
    <col min="7" max="7" width="17.7109375" style="24" customWidth="1"/>
    <col min="8" max="8" width="15.7109375" style="24" customWidth="1"/>
  </cols>
  <sheetData>
    <row r="1" spans="1:12" ht="27" thickBot="1" x14ac:dyDescent="0.45">
      <c r="B1" s="75" t="s">
        <v>0</v>
      </c>
      <c r="C1" s="76"/>
      <c r="D1" s="76"/>
      <c r="E1" s="76"/>
      <c r="F1" s="76"/>
      <c r="G1" s="76"/>
      <c r="H1" s="77"/>
    </row>
    <row r="2" spans="1:12" ht="18" x14ac:dyDescent="0.25">
      <c r="B2" s="27" t="s">
        <v>1</v>
      </c>
      <c r="C2" s="28"/>
      <c r="D2" s="29" t="s">
        <v>2</v>
      </c>
      <c r="E2" s="28"/>
      <c r="F2" s="28"/>
      <c r="G2" s="30"/>
      <c r="H2" s="31"/>
    </row>
    <row r="3" spans="1:12" ht="18.75" x14ac:dyDescent="0.3">
      <c r="B3" s="32" t="s">
        <v>20</v>
      </c>
      <c r="C3" s="33"/>
      <c r="D3" s="34" t="s">
        <v>10</v>
      </c>
      <c r="E3" s="34"/>
      <c r="F3" s="35"/>
      <c r="G3" s="36"/>
      <c r="H3" s="37"/>
    </row>
    <row r="4" spans="1:12" ht="15.75" x14ac:dyDescent="0.25">
      <c r="A4" s="1"/>
      <c r="B4" s="38"/>
      <c r="C4" s="28"/>
      <c r="D4" s="39" t="s">
        <v>3</v>
      </c>
      <c r="E4" s="40"/>
      <c r="F4" s="41"/>
      <c r="G4" s="36"/>
      <c r="H4" s="37"/>
    </row>
    <row r="5" spans="1:12" ht="15.75" x14ac:dyDescent="0.25">
      <c r="A5" s="1"/>
      <c r="B5" s="38"/>
      <c r="C5" s="28"/>
      <c r="D5" s="39" t="s">
        <v>4</v>
      </c>
      <c r="E5" s="41"/>
      <c r="F5" s="41"/>
      <c r="G5" s="36"/>
      <c r="H5" s="37"/>
    </row>
    <row r="6" spans="1:12" ht="15.75" x14ac:dyDescent="0.25">
      <c r="A6" s="1"/>
      <c r="B6" s="38"/>
      <c r="C6" s="28"/>
      <c r="D6" s="39" t="s">
        <v>13</v>
      </c>
      <c r="E6" s="40"/>
      <c r="F6" s="41"/>
      <c r="G6" s="36"/>
      <c r="H6" s="37"/>
    </row>
    <row r="7" spans="1:12" ht="18.75" x14ac:dyDescent="0.3">
      <c r="B7" s="42"/>
      <c r="C7" s="36"/>
      <c r="D7" s="39" t="s">
        <v>12</v>
      </c>
      <c r="E7" s="40"/>
      <c r="F7" s="41"/>
      <c r="G7" s="43"/>
      <c r="H7" s="37"/>
    </row>
    <row r="8" spans="1:12" ht="21" thickBot="1" x14ac:dyDescent="0.35">
      <c r="B8" s="44"/>
      <c r="C8" s="34"/>
      <c r="D8" s="39" t="s">
        <v>11</v>
      </c>
      <c r="E8" s="40"/>
      <c r="F8" s="41"/>
      <c r="G8" s="36"/>
      <c r="H8" s="37"/>
    </row>
    <row r="9" spans="1:12" ht="23.25" x14ac:dyDescent="0.35">
      <c r="A9" s="1"/>
      <c r="B9" s="45"/>
      <c r="C9" s="46"/>
      <c r="D9" s="47"/>
      <c r="E9" s="46"/>
      <c r="F9" s="48"/>
      <c r="G9" s="49" t="s">
        <v>14</v>
      </c>
      <c r="H9" s="50">
        <v>46058</v>
      </c>
      <c r="L9" s="4"/>
    </row>
    <row r="10" spans="1:12" ht="15.75" thickBot="1" x14ac:dyDescent="0.3">
      <c r="A10" s="1"/>
      <c r="B10" s="51"/>
      <c r="C10" s="52"/>
      <c r="D10" s="52"/>
      <c r="E10" s="53"/>
      <c r="F10" s="54" t="s">
        <v>9</v>
      </c>
      <c r="G10" s="53"/>
      <c r="H10" s="55"/>
    </row>
    <row r="11" spans="1:12" ht="18" customHeight="1" thickBot="1" x14ac:dyDescent="0.35">
      <c r="B11" s="56" t="s">
        <v>5</v>
      </c>
      <c r="C11" s="56" t="s">
        <v>6</v>
      </c>
      <c r="D11" s="56" t="s">
        <v>7</v>
      </c>
      <c r="E11" s="57"/>
      <c r="F11" s="56" t="s">
        <v>5</v>
      </c>
      <c r="G11" s="56" t="s">
        <v>6</v>
      </c>
      <c r="H11" s="56" t="s">
        <v>7</v>
      </c>
    </row>
    <row r="12" spans="1:12" ht="18.95" customHeight="1" x14ac:dyDescent="0.2">
      <c r="B12" s="58" t="str">
        <f t="array" ref="B12:B47">INDEX(_xlfn.ANCHORARRAY(hlpA), _xlfn.SEQUENCE(ROUNDUP(hlpCountA/2,0)),1)</f>
        <v>Backhendl</v>
      </c>
      <c r="C12" s="59" t="str">
        <f t="array" ref="C12:C47">INDEX(_xlfn.ANCHORARRAY(hlpA), _xlfn.SEQUENCE(ROUNDUP(hlpCountA/2,0)),2)</f>
        <v>Btl</v>
      </c>
      <c r="D12" s="60"/>
      <c r="E12" s="61"/>
      <c r="F12" s="58" t="str">
        <f t="array" ref="F12:F46">INDEX(_xlfn.ANCHORARRAY(hlpA), _xlfn.SEQUENCE(ROUNDDOWN(hlpCountA/2,0))+ROUNDUP(hlpCountA/2,0),1)</f>
        <v>Lachs 150g Pt.</v>
      </c>
      <c r="G12" s="59" t="str">
        <f t="array" ref="G12:G46">INDEX(_xlfn.ANCHORARRAY(hlpA), _xlfn.SEQUENCE(ROUNDDOWN(hlpCountA/2,0))+ROUNDUP(hlpCountA/2,0),2)</f>
        <v>Ktn</v>
      </c>
      <c r="H12" s="60"/>
    </row>
    <row r="13" spans="1:12" ht="18.95" customHeight="1" x14ac:dyDescent="0.2">
      <c r="B13" s="62" t="str">
        <v>Bagel Sesam</v>
      </c>
      <c r="C13" s="63" t="str">
        <v>Ktn</v>
      </c>
      <c r="D13" s="64"/>
      <c r="E13" s="65"/>
      <c r="F13" s="62" t="str">
        <v>Linsen Quinoa Salat</v>
      </c>
      <c r="G13" s="63" t="str">
        <v>Stk</v>
      </c>
      <c r="H13" s="64"/>
    </row>
    <row r="14" spans="1:12" ht="18.95" customHeight="1" x14ac:dyDescent="0.2">
      <c r="B14" s="62" t="str">
        <v>Belgische Zuckerwaffel</v>
      </c>
      <c r="C14" s="63" t="str">
        <v>Ktn</v>
      </c>
      <c r="D14" s="64"/>
      <c r="E14" s="65"/>
      <c r="F14" s="62" t="str">
        <v>Media Gallega</v>
      </c>
      <c r="G14" s="63" t="str">
        <v>Ktn</v>
      </c>
      <c r="H14" s="64"/>
    </row>
    <row r="15" spans="1:12" ht="18.95" customHeight="1" x14ac:dyDescent="0.2">
      <c r="B15" s="62" t="str">
        <v>Blütenhonig Spender</v>
      </c>
      <c r="C15" s="63" t="str">
        <v>Stk</v>
      </c>
      <c r="D15" s="64"/>
      <c r="E15" s="65"/>
      <c r="F15" s="62" t="str">
        <v>Mondamin dunkel</v>
      </c>
      <c r="G15" s="63" t="str">
        <v>Stk</v>
      </c>
      <c r="H15" s="64"/>
    </row>
    <row r="16" spans="1:12" ht="18.95" customHeight="1" x14ac:dyDescent="0.2">
      <c r="B16" s="62" t="str">
        <v>Burger, Angus</v>
      </c>
      <c r="C16" s="63" t="str">
        <v>Ktn</v>
      </c>
      <c r="D16" s="64"/>
      <c r="E16" s="65"/>
      <c r="F16" s="62" t="str">
        <v>Mondamin hell</v>
      </c>
      <c r="G16" s="63" t="str">
        <v>Stk</v>
      </c>
      <c r="H16" s="64"/>
      <c r="L16" s="4"/>
    </row>
    <row r="17" spans="1:8" ht="18.95" customHeight="1" x14ac:dyDescent="0.2">
      <c r="B17" s="62" t="str">
        <v>Burger, Crunchy Chicken</v>
      </c>
      <c r="C17" s="63" t="str">
        <v>Btl</v>
      </c>
      <c r="D17" s="64"/>
      <c r="E17" s="65"/>
      <c r="F17" s="62" t="str">
        <v>Noilly Prat</v>
      </c>
      <c r="G17" s="63" t="str">
        <v>Stk</v>
      </c>
      <c r="H17" s="64"/>
    </row>
    <row r="18" spans="1:8" ht="18.95" customHeight="1" x14ac:dyDescent="0.2">
      <c r="B18" s="62" t="str">
        <v>Burger, Dinkel-</v>
      </c>
      <c r="C18" s="63" t="str">
        <v>Btl</v>
      </c>
      <c r="D18" s="64"/>
      <c r="E18" s="65"/>
      <c r="F18" s="62" t="str">
        <v>Obstsalat</v>
      </c>
      <c r="G18" s="63" t="str">
        <v>Eimer</v>
      </c>
      <c r="H18" s="64"/>
    </row>
    <row r="19" spans="1:8" ht="18.95" customHeight="1" x14ac:dyDescent="0.2">
      <c r="B19" s="62" t="str">
        <v>Carpaccio</v>
      </c>
      <c r="C19" s="63" t="str">
        <v>Ktn</v>
      </c>
      <c r="D19" s="64"/>
      <c r="E19" s="65"/>
      <c r="F19" s="62" t="str">
        <v>Pesto Rosso</v>
      </c>
      <c r="G19" s="63" t="str">
        <v>Stk</v>
      </c>
      <c r="H19" s="64"/>
    </row>
    <row r="20" spans="1:8" ht="18.95" customHeight="1" x14ac:dyDescent="0.2">
      <c r="B20" s="62" t="str">
        <v>Cous cous 1kg</v>
      </c>
      <c r="C20" s="63" t="str">
        <v>Stk</v>
      </c>
      <c r="D20" s="64"/>
      <c r="E20" s="65"/>
      <c r="F20" s="62" t="str">
        <v>Pesto Verde, Basilikum 1kg</v>
      </c>
      <c r="G20" s="63" t="str">
        <v>Stk</v>
      </c>
      <c r="H20" s="64"/>
    </row>
    <row r="21" spans="1:8" ht="18.95" customHeight="1" x14ac:dyDescent="0.2">
      <c r="B21" s="62" t="str">
        <v>Croutons, Kräuter</v>
      </c>
      <c r="C21" s="63" t="str">
        <v>Btl</v>
      </c>
      <c r="D21" s="64"/>
      <c r="E21" s="65"/>
      <c r="F21" s="62" t="str">
        <v>Philadelphia</v>
      </c>
      <c r="G21" s="63" t="str">
        <v>Stk</v>
      </c>
      <c r="H21" s="64"/>
    </row>
    <row r="22" spans="1:8" ht="18.95" customHeight="1" x14ac:dyDescent="0.2">
      <c r="B22" s="62" t="str">
        <v>Eis, Erdbeer</v>
      </c>
      <c r="C22" s="63" t="str">
        <v>Stk</v>
      </c>
      <c r="D22" s="64"/>
      <c r="E22" s="65"/>
      <c r="F22" s="62" t="str">
        <v>Portionen Majo</v>
      </c>
      <c r="G22" s="63" t="str">
        <v>Ktn</v>
      </c>
      <c r="H22" s="64"/>
    </row>
    <row r="23" spans="1:8" ht="18.95" customHeight="1" x14ac:dyDescent="0.2">
      <c r="B23" s="62" t="str">
        <v>Eis, Schoko</v>
      </c>
      <c r="C23" s="63" t="str">
        <v>Stk</v>
      </c>
      <c r="D23" s="64"/>
      <c r="E23" s="65"/>
      <c r="F23" s="62" t="str">
        <v>Portionen Senf</v>
      </c>
      <c r="G23" s="63" t="str">
        <v>Ktn</v>
      </c>
      <c r="H23" s="64"/>
    </row>
    <row r="24" spans="1:8" ht="18.95" customHeight="1" x14ac:dyDescent="0.2">
      <c r="B24" s="62" t="str">
        <v>Eis, Sorbet, Cassis</v>
      </c>
      <c r="C24" s="63" t="str">
        <v>Stk</v>
      </c>
      <c r="D24" s="64"/>
      <c r="E24" s="65"/>
      <c r="F24" s="62" t="str">
        <v>Portionen Tomatenketchup</v>
      </c>
      <c r="G24" s="63" t="str">
        <v>Ktn</v>
      </c>
      <c r="H24" s="64"/>
    </row>
    <row r="25" spans="1:8" ht="18.95" customHeight="1" x14ac:dyDescent="0.2">
      <c r="B25" s="62" t="str">
        <v>Eis, Sorbet, Passionsfrucht</v>
      </c>
      <c r="C25" s="63" t="str">
        <v>Stk</v>
      </c>
      <c r="D25" s="64"/>
      <c r="E25" s="65"/>
      <c r="F25" s="62" t="str">
        <v>Reis, Basmati</v>
      </c>
      <c r="G25" s="63" t="str">
        <v>Btl</v>
      </c>
      <c r="H25" s="64"/>
    </row>
    <row r="26" spans="1:8" ht="18.95" customHeight="1" x14ac:dyDescent="0.2">
      <c r="B26" s="62" t="str">
        <v>Eis, Sorbet, Zitronen</v>
      </c>
      <c r="C26" s="63" t="str">
        <v>Stk</v>
      </c>
      <c r="D26" s="64"/>
      <c r="E26" s="65"/>
      <c r="F26" s="62" t="str">
        <v>Reis, Risotto</v>
      </c>
      <c r="G26" s="63" t="str">
        <v>Btl</v>
      </c>
      <c r="H26" s="64"/>
    </row>
    <row r="27" spans="1:8" ht="18.95" customHeight="1" x14ac:dyDescent="0.2">
      <c r="B27" s="62" t="str">
        <v>Eis, Vanille</v>
      </c>
      <c r="C27" s="63" t="str">
        <v>Stk</v>
      </c>
      <c r="D27" s="64"/>
      <c r="E27" s="65"/>
      <c r="F27" s="62" t="str">
        <v>Rübensirup, Grafschafter Goldsaft</v>
      </c>
      <c r="G27" s="63" t="str">
        <v>Stk</v>
      </c>
      <c r="H27" s="64"/>
    </row>
    <row r="28" spans="1:8" ht="18.95" customHeight="1" x14ac:dyDescent="0.25">
      <c r="A28" s="3" t="s">
        <v>8</v>
      </c>
      <c r="B28" s="62" t="str">
        <v>Grana Padano</v>
      </c>
      <c r="C28" s="63" t="str">
        <v>Btl</v>
      </c>
      <c r="D28" s="64"/>
      <c r="E28" s="65"/>
      <c r="F28" s="62" t="str">
        <v>Salat Majo Tube</v>
      </c>
      <c r="G28" s="63" t="str">
        <v>Stk</v>
      </c>
      <c r="H28" s="64"/>
    </row>
    <row r="29" spans="1:8" ht="18.95" customHeight="1" x14ac:dyDescent="0.2">
      <c r="B29" s="62" t="str">
        <v>Guacamole Supreme</v>
      </c>
      <c r="C29" s="63" t="str">
        <v>Ktn</v>
      </c>
      <c r="D29" s="64"/>
      <c r="E29" s="65"/>
      <c r="F29" s="62" t="str">
        <v>Siegelrandbeutel 150x250</v>
      </c>
      <c r="G29" s="63" t="str">
        <v>Ktn</v>
      </c>
      <c r="H29" s="64"/>
    </row>
    <row r="30" spans="1:8" ht="18.95" customHeight="1" x14ac:dyDescent="0.2">
      <c r="B30" s="62" t="str">
        <v>Kalamata Oliven</v>
      </c>
      <c r="C30" s="63" t="str">
        <v>Stk</v>
      </c>
      <c r="D30" s="64"/>
      <c r="E30" s="65"/>
      <c r="F30" s="62" t="str">
        <v>Siegelrandbeutel 160x240</v>
      </c>
      <c r="G30" s="63" t="str">
        <v>Ktn</v>
      </c>
      <c r="H30" s="64"/>
    </row>
    <row r="31" spans="1:8" ht="18.95" customHeight="1" x14ac:dyDescent="0.2">
      <c r="B31" s="62" t="str">
        <v>Kapern fines, 720ml</v>
      </c>
      <c r="C31" s="63" t="str">
        <v>Stk</v>
      </c>
      <c r="D31" s="64"/>
      <c r="E31" s="65"/>
      <c r="F31" s="62" t="str">
        <v>Siegelrandbeutel 250x300</v>
      </c>
      <c r="G31" s="63" t="str">
        <v>Ktn</v>
      </c>
      <c r="H31" s="64"/>
    </row>
    <row r="32" spans="1:8" ht="18.95" customHeight="1" x14ac:dyDescent="0.2">
      <c r="B32" s="62" t="str">
        <v>Knoblauch, gehackt</v>
      </c>
      <c r="C32" s="63" t="str">
        <v>Stk</v>
      </c>
      <c r="D32" s="64"/>
      <c r="E32" s="65"/>
      <c r="F32" s="62" t="str">
        <v>Sweet Chili</v>
      </c>
      <c r="G32" s="63" t="str">
        <v>Stk</v>
      </c>
      <c r="H32" s="64"/>
    </row>
    <row r="33" spans="1:8" ht="18.95" customHeight="1" x14ac:dyDescent="0.2">
      <c r="B33" s="62" t="str">
        <v>Kokosmilch</v>
      </c>
      <c r="C33" s="63" t="str">
        <v>Stk</v>
      </c>
      <c r="D33" s="64"/>
      <c r="E33" s="65"/>
      <c r="F33" s="62" t="e">
        <v>#N/A</v>
      </c>
      <c r="G33" s="63" t="e">
        <v>#N/A</v>
      </c>
      <c r="H33" s="64"/>
    </row>
    <row r="34" spans="1:8" ht="18.95" customHeight="1" x14ac:dyDescent="0.2">
      <c r="B34" s="62" t="e">
        <v>#N/A</v>
      </c>
      <c r="C34" s="63" t="e">
        <v>#N/A</v>
      </c>
      <c r="D34" s="64"/>
      <c r="E34" s="65"/>
      <c r="F34" s="62" t="e">
        <v>#N/A</v>
      </c>
      <c r="G34" s="63" t="e">
        <v>#N/A</v>
      </c>
      <c r="H34" s="64"/>
    </row>
    <row r="35" spans="1:8" ht="18.95" customHeight="1" x14ac:dyDescent="0.2">
      <c r="B35" s="62" t="e">
        <v>#N/A</v>
      </c>
      <c r="C35" s="63" t="e">
        <v>#N/A</v>
      </c>
      <c r="D35" s="64"/>
      <c r="E35" s="65"/>
      <c r="F35" s="62" t="e">
        <v>#N/A</v>
      </c>
      <c r="G35" s="63" t="e">
        <v>#N/A</v>
      </c>
      <c r="H35" s="64"/>
    </row>
    <row r="36" spans="1:8" ht="18.95" customHeight="1" x14ac:dyDescent="0.2">
      <c r="B36" s="62" t="e">
        <v>#N/A</v>
      </c>
      <c r="C36" s="63" t="e">
        <v>#N/A</v>
      </c>
      <c r="D36" s="64"/>
      <c r="E36" s="65"/>
      <c r="F36" s="62" t="e">
        <v>#N/A</v>
      </c>
      <c r="G36" s="63" t="e">
        <v>#N/A</v>
      </c>
      <c r="H36" s="64"/>
    </row>
    <row r="37" spans="1:8" ht="18.95" customHeight="1" x14ac:dyDescent="0.2">
      <c r="B37" s="62" t="e">
        <v>#N/A</v>
      </c>
      <c r="C37" s="63" t="e">
        <v>#N/A</v>
      </c>
      <c r="D37" s="64"/>
      <c r="E37" s="65"/>
      <c r="F37" s="62" t="e">
        <v>#N/A</v>
      </c>
      <c r="G37" s="63" t="e">
        <v>#N/A</v>
      </c>
      <c r="H37" s="64"/>
    </row>
    <row r="38" spans="1:8" ht="18.95" customHeight="1" x14ac:dyDescent="0.2">
      <c r="B38" s="62" t="e">
        <v>#N/A</v>
      </c>
      <c r="C38" s="63" t="e">
        <v>#N/A</v>
      </c>
      <c r="D38" s="64"/>
      <c r="E38" s="65"/>
      <c r="F38" s="62" t="e">
        <v>#N/A</v>
      </c>
      <c r="G38" s="63" t="e">
        <v>#N/A</v>
      </c>
      <c r="H38" s="64"/>
    </row>
    <row r="39" spans="1:8" ht="18.95" customHeight="1" x14ac:dyDescent="0.2">
      <c r="B39" s="62" t="e">
        <v>#N/A</v>
      </c>
      <c r="C39" s="63" t="e">
        <v>#N/A</v>
      </c>
      <c r="D39" s="64"/>
      <c r="E39" s="65"/>
      <c r="F39" s="62" t="e">
        <v>#N/A</v>
      </c>
      <c r="G39" s="63" t="e">
        <v>#N/A</v>
      </c>
      <c r="H39" s="64"/>
    </row>
    <row r="40" spans="1:8" ht="18.95" customHeight="1" x14ac:dyDescent="0.2">
      <c r="B40" s="62" t="e">
        <v>#N/A</v>
      </c>
      <c r="C40" s="63" t="e">
        <v>#N/A</v>
      </c>
      <c r="D40" s="64"/>
      <c r="E40" s="65"/>
      <c r="F40" s="62" t="e">
        <v>#N/A</v>
      </c>
      <c r="G40" s="63" t="e">
        <v>#N/A</v>
      </c>
      <c r="H40" s="66"/>
    </row>
    <row r="41" spans="1:8" ht="18.95" customHeight="1" x14ac:dyDescent="0.2">
      <c r="B41" s="62" t="e">
        <v>#N/A</v>
      </c>
      <c r="C41" s="63" t="e">
        <v>#N/A</v>
      </c>
      <c r="D41" s="64"/>
      <c r="E41" s="65"/>
      <c r="F41" s="62" t="e">
        <v>#N/A</v>
      </c>
      <c r="G41" s="63" t="e">
        <v>#N/A</v>
      </c>
      <c r="H41" s="64"/>
    </row>
    <row r="42" spans="1:8" ht="18.95" customHeight="1" x14ac:dyDescent="0.2">
      <c r="B42" s="62" t="e">
        <v>#N/A</v>
      </c>
      <c r="C42" s="63" t="e">
        <v>#N/A</v>
      </c>
      <c r="D42" s="64"/>
      <c r="E42" s="65"/>
      <c r="F42" s="62" t="e">
        <v>#N/A</v>
      </c>
      <c r="G42" s="63" t="e">
        <v>#N/A</v>
      </c>
      <c r="H42" s="64"/>
    </row>
    <row r="43" spans="1:8" ht="18.95" customHeight="1" x14ac:dyDescent="0.2">
      <c r="A43" s="2"/>
      <c r="B43" s="62" t="e">
        <v>#N/A</v>
      </c>
      <c r="C43" s="63" t="e">
        <v>#N/A</v>
      </c>
      <c r="D43" s="64"/>
      <c r="E43" s="65"/>
      <c r="F43" s="62" t="e">
        <v>#N/A</v>
      </c>
      <c r="G43" s="63" t="e">
        <v>#N/A</v>
      </c>
      <c r="H43" s="64"/>
    </row>
    <row r="44" spans="1:8" ht="18.95" customHeight="1" x14ac:dyDescent="0.2">
      <c r="A44" s="2"/>
      <c r="B44" s="62" t="e">
        <v>#N/A</v>
      </c>
      <c r="C44" s="63" t="e">
        <v>#N/A</v>
      </c>
      <c r="D44" s="64"/>
      <c r="E44" s="65"/>
      <c r="F44" s="67" t="e">
        <v>#N/A</v>
      </c>
      <c r="G44" s="68" t="e">
        <v>#N/A</v>
      </c>
      <c r="H44" s="69"/>
    </row>
    <row r="45" spans="1:8" ht="18" x14ac:dyDescent="0.2">
      <c r="B45" s="62" t="e">
        <v>#N/A</v>
      </c>
      <c r="C45" s="63" t="e">
        <v>#N/A</v>
      </c>
      <c r="D45" s="64"/>
      <c r="E45" s="65"/>
      <c r="F45" s="62" t="e">
        <v>#N/A</v>
      </c>
      <c r="G45" s="63" t="e">
        <v>#N/A</v>
      </c>
      <c r="H45" s="64"/>
    </row>
    <row r="46" spans="1:8" ht="18" x14ac:dyDescent="0.2">
      <c r="B46" s="62" t="e">
        <v>#N/A</v>
      </c>
      <c r="C46" s="63" t="e">
        <v>#N/A</v>
      </c>
      <c r="D46" s="64"/>
      <c r="E46" s="65"/>
      <c r="F46" s="62" t="e">
        <v>#N/A</v>
      </c>
      <c r="G46" s="63" t="e">
        <v>#N/A</v>
      </c>
      <c r="H46" s="64"/>
    </row>
    <row r="47" spans="1:8" ht="18" x14ac:dyDescent="0.2">
      <c r="B47" s="62" t="e">
        <v>#N/A</v>
      </c>
      <c r="C47" s="63" t="e">
        <v>#N/A</v>
      </c>
      <c r="D47" s="64"/>
      <c r="E47" s="65"/>
      <c r="F47" s="62"/>
      <c r="G47" s="63"/>
      <c r="H47" s="64"/>
    </row>
    <row r="48" spans="1:8" ht="18" x14ac:dyDescent="0.2">
      <c r="B48" s="62"/>
      <c r="C48" s="63"/>
      <c r="D48" s="64"/>
      <c r="E48" s="65"/>
      <c r="F48" s="62"/>
      <c r="G48" s="63"/>
      <c r="H48" s="64"/>
    </row>
    <row r="49" spans="2:8" ht="18" x14ac:dyDescent="0.2">
      <c r="B49" s="62"/>
      <c r="C49" s="63"/>
      <c r="D49" s="64"/>
      <c r="E49" s="65"/>
      <c r="F49" s="62"/>
      <c r="G49" s="63"/>
      <c r="H49" s="64"/>
    </row>
    <row r="50" spans="2:8" ht="18.75" thickBot="1" x14ac:dyDescent="0.25">
      <c r="B50" s="70"/>
      <c r="C50" s="71"/>
      <c r="D50" s="72"/>
      <c r="E50" s="73"/>
      <c r="F50" s="70"/>
      <c r="G50" s="71"/>
      <c r="H50" s="72"/>
    </row>
  </sheetData>
  <mergeCells count="1">
    <mergeCell ref="B1:H1"/>
  </mergeCells>
  <phoneticPr fontId="0" type="noConversion"/>
  <pageMargins left="0.74" right="0.4" top="0.99" bottom="0.984251969" header="0.49" footer="0.4921259845"/>
  <pageSetup paperSize="9" scale="67" fitToHeight="0" orientation="portrait" horizontalDpi="12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tzeDatumHeute">
                <anchor moveWithCells="1" sizeWithCells="1">
                  <from>
                    <xdr:col>8</xdr:col>
                    <xdr:colOff>323850</xdr:colOff>
                    <xdr:row>0</xdr:row>
                    <xdr:rowOff>266700</xdr:rowOff>
                  </from>
                  <to>
                    <xdr:col>12</xdr:col>
                    <xdr:colOff>304800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91A27-BF51-4602-ACB2-BFF809C2E38C}">
  <sheetPr codeName="Tabelle4">
    <tabColor rgb="FF00B050"/>
    <pageSetUpPr fitToPage="1"/>
  </sheetPr>
  <dimension ref="A1:H47"/>
  <sheetViews>
    <sheetView tabSelected="1" workbookViewId="0">
      <selection activeCell="H8" sqref="H8"/>
    </sheetView>
  </sheetViews>
  <sheetFormatPr baseColWidth="10" defaultRowHeight="18.75" x14ac:dyDescent="0.3"/>
  <cols>
    <col min="1" max="1" width="31.140625" style="23" bestFit="1" customWidth="1"/>
    <col min="2" max="2" width="14" style="23" bestFit="1" customWidth="1"/>
    <col min="3" max="3" width="5.5703125" style="23" bestFit="1" customWidth="1"/>
    <col min="4" max="4" width="6" style="23" bestFit="1" customWidth="1"/>
    <col min="5" max="5" width="8.85546875" style="23" hidden="1" customWidth="1"/>
    <col min="6" max="6" width="4.42578125" style="23" hidden="1" customWidth="1"/>
    <col min="7" max="7" width="8.42578125" style="23" hidden="1" customWidth="1"/>
    <col min="8" max="8" width="11.42578125" style="24"/>
  </cols>
  <sheetData>
    <row r="1" spans="1:8" ht="26.25" x14ac:dyDescent="0.4">
      <c r="A1" s="8" t="s">
        <v>71</v>
      </c>
      <c r="B1" s="9"/>
      <c r="C1" s="9"/>
      <c r="D1" s="9"/>
      <c r="E1" s="9"/>
      <c r="F1" s="9"/>
      <c r="G1" s="9"/>
      <c r="H1" s="10"/>
    </row>
    <row r="2" spans="1:8" ht="19.5" thickBot="1" x14ac:dyDescent="0.35">
      <c r="A2" s="11"/>
      <c r="B2" s="12"/>
      <c r="C2" s="12"/>
      <c r="D2" s="12"/>
      <c r="E2" s="12"/>
      <c r="F2" s="12"/>
      <c r="G2" s="12"/>
      <c r="H2" s="13"/>
    </row>
    <row r="3" spans="1:8" x14ac:dyDescent="0.3">
      <c r="A3" s="25" t="s">
        <v>5</v>
      </c>
      <c r="B3" s="26" t="s">
        <v>15</v>
      </c>
      <c r="C3" s="26" t="s">
        <v>17</v>
      </c>
      <c r="D3" s="26" t="s">
        <v>18</v>
      </c>
      <c r="E3" s="26"/>
      <c r="F3" s="26"/>
      <c r="G3" s="26"/>
      <c r="H3" s="26" t="s">
        <v>7</v>
      </c>
    </row>
    <row r="4" spans="1:8" x14ac:dyDescent="0.3">
      <c r="A4" s="14" t="str" cm="1">
        <f t="array" ref="A4:G46">_xlfn.ANCHORARRAY(hlpA)</f>
        <v>Backhendl</v>
      </c>
      <c r="B4" s="15" t="str">
        <v>Btl</v>
      </c>
      <c r="C4" s="15">
        <v>5</v>
      </c>
      <c r="D4" s="15">
        <v>15</v>
      </c>
      <c r="E4" s="15">
        <v>0</v>
      </c>
      <c r="F4" s="15" t="str">
        <v>TK</v>
      </c>
      <c r="G4" s="15" t="b">
        <v>1</v>
      </c>
      <c r="H4" s="16"/>
    </row>
    <row r="5" spans="1:8" x14ac:dyDescent="0.3">
      <c r="A5" s="17" t="str">
        <v>Bagel Sesam</v>
      </c>
      <c r="B5" s="18" t="str">
        <v>Ktn</v>
      </c>
      <c r="C5" s="18">
        <v>1</v>
      </c>
      <c r="D5" s="18">
        <v>2</v>
      </c>
      <c r="E5" s="18">
        <v>0</v>
      </c>
      <c r="F5" s="18" t="str">
        <v>TK</v>
      </c>
      <c r="G5" s="18" t="b">
        <v>1</v>
      </c>
      <c r="H5" s="19"/>
    </row>
    <row r="6" spans="1:8" x14ac:dyDescent="0.3">
      <c r="A6" s="17" t="str">
        <v>Belgische Zuckerwaffel</v>
      </c>
      <c r="B6" s="18" t="str">
        <v>Ktn</v>
      </c>
      <c r="C6" s="18">
        <v>1</v>
      </c>
      <c r="D6" s="18">
        <v>3</v>
      </c>
      <c r="E6" s="18">
        <v>0</v>
      </c>
      <c r="F6" s="18" t="str">
        <v>TK</v>
      </c>
      <c r="G6" s="18" t="b">
        <v>1</v>
      </c>
      <c r="H6" s="19"/>
    </row>
    <row r="7" spans="1:8" x14ac:dyDescent="0.3">
      <c r="A7" s="17" t="str">
        <v>Blütenhonig Spender</v>
      </c>
      <c r="B7" s="18" t="str">
        <v>Stk</v>
      </c>
      <c r="C7" s="18">
        <v>8</v>
      </c>
      <c r="D7" s="18">
        <v>24</v>
      </c>
      <c r="E7" s="18">
        <v>0</v>
      </c>
      <c r="F7" s="18" t="str">
        <v>TL</v>
      </c>
      <c r="G7" s="18" t="b">
        <v>1</v>
      </c>
      <c r="H7" s="19">
        <v>12</v>
      </c>
    </row>
    <row r="8" spans="1:8" x14ac:dyDescent="0.3">
      <c r="A8" s="17" t="str">
        <v>Burger, Angus</v>
      </c>
      <c r="B8" s="18" t="str">
        <v>Ktn</v>
      </c>
      <c r="C8" s="18">
        <v>4</v>
      </c>
      <c r="D8" s="18">
        <v>8</v>
      </c>
      <c r="E8" s="18">
        <v>0</v>
      </c>
      <c r="F8" s="18" t="str">
        <v>TK</v>
      </c>
      <c r="G8" s="18" t="b">
        <v>1</v>
      </c>
      <c r="H8" s="19"/>
    </row>
    <row r="9" spans="1:8" x14ac:dyDescent="0.3">
      <c r="A9" s="17" t="str">
        <v>Burger, Crunchy Chicken</v>
      </c>
      <c r="B9" s="18" t="str">
        <v>Btl</v>
      </c>
      <c r="C9" s="18">
        <v>6</v>
      </c>
      <c r="D9" s="18">
        <v>12</v>
      </c>
      <c r="E9" s="18">
        <v>0</v>
      </c>
      <c r="F9" s="18" t="str">
        <v>TK</v>
      </c>
      <c r="G9" s="18" t="b">
        <v>1</v>
      </c>
      <c r="H9" s="19"/>
    </row>
    <row r="10" spans="1:8" x14ac:dyDescent="0.3">
      <c r="A10" s="17" t="str">
        <v>Burger, Dinkel-</v>
      </c>
      <c r="B10" s="18" t="str">
        <v>Btl</v>
      </c>
      <c r="C10" s="18">
        <v>3</v>
      </c>
      <c r="D10" s="18">
        <v>6</v>
      </c>
      <c r="E10" s="18">
        <v>0</v>
      </c>
      <c r="F10" s="18" t="str">
        <v>TK</v>
      </c>
      <c r="G10" s="18" t="b">
        <v>1</v>
      </c>
      <c r="H10" s="19"/>
    </row>
    <row r="11" spans="1:8" x14ac:dyDescent="0.3">
      <c r="A11" s="17" t="str">
        <v>Carpaccio</v>
      </c>
      <c r="B11" s="18" t="str">
        <v>Ktn</v>
      </c>
      <c r="C11" s="18">
        <v>3</v>
      </c>
      <c r="D11" s="18">
        <v>5</v>
      </c>
      <c r="E11" s="18">
        <v>0</v>
      </c>
      <c r="F11" s="18" t="str">
        <v>TK</v>
      </c>
      <c r="G11" s="18" t="b">
        <v>1</v>
      </c>
      <c r="H11" s="19"/>
    </row>
    <row r="12" spans="1:8" x14ac:dyDescent="0.3">
      <c r="A12" s="17" t="str">
        <v>Cous cous 1kg</v>
      </c>
      <c r="B12" s="18" t="str">
        <v>Stk</v>
      </c>
      <c r="C12" s="18">
        <v>4</v>
      </c>
      <c r="D12" s="18">
        <v>8</v>
      </c>
      <c r="E12" s="18">
        <v>0</v>
      </c>
      <c r="F12" s="18" t="str">
        <v>TL</v>
      </c>
      <c r="G12" s="18" t="b">
        <v>1</v>
      </c>
      <c r="H12" s="19"/>
    </row>
    <row r="13" spans="1:8" x14ac:dyDescent="0.3">
      <c r="A13" s="17" t="str">
        <v>Croutons, Kräuter</v>
      </c>
      <c r="B13" s="18" t="str">
        <v>Btl</v>
      </c>
      <c r="C13" s="18">
        <v>3</v>
      </c>
      <c r="D13" s="18">
        <v>6</v>
      </c>
      <c r="E13" s="18">
        <v>0</v>
      </c>
      <c r="F13" s="18" t="str">
        <v>TL</v>
      </c>
      <c r="G13" s="18" t="b">
        <v>1</v>
      </c>
      <c r="H13" s="19"/>
    </row>
    <row r="14" spans="1:8" x14ac:dyDescent="0.3">
      <c r="A14" s="17" t="str">
        <v>Eis, Erdbeer</v>
      </c>
      <c r="B14" s="18" t="str">
        <v>Stk</v>
      </c>
      <c r="C14" s="18">
        <v>1</v>
      </c>
      <c r="D14" s="18">
        <v>2</v>
      </c>
      <c r="E14" s="18">
        <v>0</v>
      </c>
      <c r="F14" s="18" t="str">
        <v>TK</v>
      </c>
      <c r="G14" s="18" t="b">
        <v>1</v>
      </c>
      <c r="H14" s="19"/>
    </row>
    <row r="15" spans="1:8" x14ac:dyDescent="0.3">
      <c r="A15" s="17" t="str">
        <v>Eis, Schoko</v>
      </c>
      <c r="B15" s="18" t="str">
        <v>Stk</v>
      </c>
      <c r="C15" s="18">
        <v>1</v>
      </c>
      <c r="D15" s="18">
        <v>2</v>
      </c>
      <c r="E15" s="18">
        <v>0</v>
      </c>
      <c r="F15" s="18" t="str">
        <v>TK</v>
      </c>
      <c r="G15" s="18" t="b">
        <v>1</v>
      </c>
      <c r="H15" s="19"/>
    </row>
    <row r="16" spans="1:8" x14ac:dyDescent="0.3">
      <c r="A16" s="17" t="str">
        <v>Eis, Sorbet, Cassis</v>
      </c>
      <c r="B16" s="18" t="str">
        <v>Stk</v>
      </c>
      <c r="C16" s="18">
        <v>1</v>
      </c>
      <c r="D16" s="18">
        <v>2</v>
      </c>
      <c r="E16" s="18">
        <v>0</v>
      </c>
      <c r="F16" s="18" t="str">
        <v>TK</v>
      </c>
      <c r="G16" s="18" t="b">
        <v>1</v>
      </c>
      <c r="H16" s="19"/>
    </row>
    <row r="17" spans="1:8" x14ac:dyDescent="0.3">
      <c r="A17" s="17" t="str">
        <v>Eis, Sorbet, Passionsfrucht</v>
      </c>
      <c r="B17" s="18" t="str">
        <v>Stk</v>
      </c>
      <c r="C17" s="18">
        <v>1</v>
      </c>
      <c r="D17" s="18">
        <v>2</v>
      </c>
      <c r="E17" s="18">
        <v>0</v>
      </c>
      <c r="F17" s="18" t="str">
        <v>TK</v>
      </c>
      <c r="G17" s="18" t="b">
        <v>1</v>
      </c>
      <c r="H17" s="19"/>
    </row>
    <row r="18" spans="1:8" x14ac:dyDescent="0.3">
      <c r="A18" s="17" t="str">
        <v>Eis, Sorbet, Zitronen</v>
      </c>
      <c r="B18" s="18" t="str">
        <v>Stk</v>
      </c>
      <c r="C18" s="18">
        <v>1</v>
      </c>
      <c r="D18" s="18">
        <v>2</v>
      </c>
      <c r="E18" s="18">
        <v>0</v>
      </c>
      <c r="F18" s="18" t="str">
        <v>TK</v>
      </c>
      <c r="G18" s="18" t="b">
        <v>1</v>
      </c>
      <c r="H18" s="19"/>
    </row>
    <row r="19" spans="1:8" x14ac:dyDescent="0.3">
      <c r="A19" s="17" t="str">
        <v>Eis, Vanille</v>
      </c>
      <c r="B19" s="18" t="str">
        <v>Stk</v>
      </c>
      <c r="C19" s="18">
        <v>1</v>
      </c>
      <c r="D19" s="18">
        <v>3</v>
      </c>
      <c r="E19" s="18">
        <v>0</v>
      </c>
      <c r="F19" s="18" t="str">
        <v>TK</v>
      </c>
      <c r="G19" s="18" t="b">
        <v>1</v>
      </c>
      <c r="H19" s="19"/>
    </row>
    <row r="20" spans="1:8" x14ac:dyDescent="0.3">
      <c r="A20" s="17" t="str">
        <v>Grana Padano</v>
      </c>
      <c r="B20" s="18" t="str">
        <v>Btl</v>
      </c>
      <c r="C20" s="18">
        <v>4</v>
      </c>
      <c r="D20" s="18">
        <v>12</v>
      </c>
      <c r="E20" s="18">
        <v>0</v>
      </c>
      <c r="F20" s="18" t="str">
        <v>KL</v>
      </c>
      <c r="G20" s="18" t="b">
        <v>1</v>
      </c>
      <c r="H20" s="19"/>
    </row>
    <row r="21" spans="1:8" x14ac:dyDescent="0.3">
      <c r="A21" s="17" t="str">
        <v>Guacamole Supreme</v>
      </c>
      <c r="B21" s="18" t="str">
        <v>Ktn</v>
      </c>
      <c r="C21" s="18">
        <v>1</v>
      </c>
      <c r="D21" s="18">
        <v>2</v>
      </c>
      <c r="E21" s="18">
        <v>0</v>
      </c>
      <c r="F21" s="18" t="str">
        <v>TK</v>
      </c>
      <c r="G21" s="18" t="b">
        <v>1</v>
      </c>
      <c r="H21" s="19"/>
    </row>
    <row r="22" spans="1:8" x14ac:dyDescent="0.3">
      <c r="A22" s="17" t="str">
        <v>Kalamata Oliven</v>
      </c>
      <c r="B22" s="18" t="str">
        <v>Stk</v>
      </c>
      <c r="C22" s="18">
        <v>3</v>
      </c>
      <c r="D22" s="18">
        <v>6</v>
      </c>
      <c r="E22" s="18">
        <v>0</v>
      </c>
      <c r="F22" s="18" t="str">
        <v>TL</v>
      </c>
      <c r="G22" s="18" t="b">
        <v>1</v>
      </c>
      <c r="H22" s="19"/>
    </row>
    <row r="23" spans="1:8" x14ac:dyDescent="0.3">
      <c r="A23" s="17" t="str">
        <v>Kapern fines, 720ml</v>
      </c>
      <c r="B23" s="18" t="str">
        <v>Stk</v>
      </c>
      <c r="C23" s="18">
        <v>1</v>
      </c>
      <c r="D23" s="18">
        <v>3</v>
      </c>
      <c r="E23" s="18">
        <v>0</v>
      </c>
      <c r="F23" s="18" t="str">
        <v>TL</v>
      </c>
      <c r="G23" s="18" t="b">
        <v>1</v>
      </c>
      <c r="H23" s="19"/>
    </row>
    <row r="24" spans="1:8" x14ac:dyDescent="0.3">
      <c r="A24" s="17" t="str">
        <v>Knoblauch, gehackt</v>
      </c>
      <c r="B24" s="18" t="str">
        <v>Stk</v>
      </c>
      <c r="C24" s="18">
        <v>1</v>
      </c>
      <c r="D24" s="18">
        <v>1</v>
      </c>
      <c r="E24" s="18">
        <v>0</v>
      </c>
      <c r="F24" s="18" t="str">
        <v>KL</v>
      </c>
      <c r="G24" s="18" t="b">
        <v>1</v>
      </c>
      <c r="H24" s="19"/>
    </row>
    <row r="25" spans="1:8" x14ac:dyDescent="0.3">
      <c r="A25" s="17" t="str">
        <v>Kokosmilch</v>
      </c>
      <c r="B25" s="18" t="str">
        <v>Stk</v>
      </c>
      <c r="C25" s="18">
        <v>6</v>
      </c>
      <c r="D25" s="18">
        <v>12</v>
      </c>
      <c r="E25" s="18">
        <v>0</v>
      </c>
      <c r="F25" s="18" t="str">
        <v>TL</v>
      </c>
      <c r="G25" s="18" t="b">
        <v>1</v>
      </c>
      <c r="H25" s="19"/>
    </row>
    <row r="26" spans="1:8" x14ac:dyDescent="0.3">
      <c r="A26" s="17" t="str">
        <v>Lachs 150g Pt.</v>
      </c>
      <c r="B26" s="18" t="str">
        <v>Ktn</v>
      </c>
      <c r="C26" s="18">
        <v>2</v>
      </c>
      <c r="D26" s="18">
        <v>4</v>
      </c>
      <c r="E26" s="18">
        <v>0</v>
      </c>
      <c r="F26" s="18" t="str">
        <v>TK</v>
      </c>
      <c r="G26" s="18" t="b">
        <v>1</v>
      </c>
      <c r="H26" s="19"/>
    </row>
    <row r="27" spans="1:8" x14ac:dyDescent="0.3">
      <c r="A27" s="17" t="str">
        <v>Linsen Quinoa Salat</v>
      </c>
      <c r="B27" s="18" t="str">
        <v>Stk</v>
      </c>
      <c r="C27" s="18">
        <v>5</v>
      </c>
      <c r="D27" s="18">
        <v>10</v>
      </c>
      <c r="E27" s="18">
        <v>0</v>
      </c>
      <c r="F27" s="18" t="str">
        <v>KL</v>
      </c>
      <c r="G27" s="18" t="b">
        <v>1</v>
      </c>
      <c r="H27" s="19"/>
    </row>
    <row r="28" spans="1:8" x14ac:dyDescent="0.3">
      <c r="A28" s="17" t="str">
        <v>Media Gallega</v>
      </c>
      <c r="B28" s="18" t="str">
        <v>Ktn</v>
      </c>
      <c r="C28" s="18">
        <v>2</v>
      </c>
      <c r="D28" s="18">
        <v>4</v>
      </c>
      <c r="E28" s="18">
        <v>0</v>
      </c>
      <c r="F28" s="18" t="str">
        <v>TK</v>
      </c>
      <c r="G28" s="18" t="b">
        <v>1</v>
      </c>
      <c r="H28" s="19"/>
    </row>
    <row r="29" spans="1:8" x14ac:dyDescent="0.3">
      <c r="A29" s="17" t="str">
        <v>Mondamin dunkel</v>
      </c>
      <c r="B29" s="18" t="str">
        <v>Stk</v>
      </c>
      <c r="C29" s="18">
        <v>2</v>
      </c>
      <c r="D29" s="18">
        <v>6</v>
      </c>
      <c r="E29" s="18">
        <v>0</v>
      </c>
      <c r="F29" s="18" t="str">
        <v>TL</v>
      </c>
      <c r="G29" s="18" t="b">
        <v>1</v>
      </c>
      <c r="H29" s="19"/>
    </row>
    <row r="30" spans="1:8" x14ac:dyDescent="0.3">
      <c r="A30" s="17" t="str">
        <v>Mondamin hell</v>
      </c>
      <c r="B30" s="18" t="str">
        <v>Stk</v>
      </c>
      <c r="C30" s="18">
        <v>2</v>
      </c>
      <c r="D30" s="18">
        <v>6</v>
      </c>
      <c r="E30" s="18">
        <v>0</v>
      </c>
      <c r="F30" s="18" t="str">
        <v>TL</v>
      </c>
      <c r="G30" s="18" t="b">
        <v>1</v>
      </c>
      <c r="H30" s="19"/>
    </row>
    <row r="31" spans="1:8" x14ac:dyDescent="0.3">
      <c r="A31" s="17" t="str">
        <v>Noilly Prat</v>
      </c>
      <c r="B31" s="18" t="str">
        <v>Stk</v>
      </c>
      <c r="C31" s="18">
        <v>1</v>
      </c>
      <c r="D31" s="18">
        <v>2</v>
      </c>
      <c r="E31" s="18">
        <v>0</v>
      </c>
      <c r="F31" s="18" t="str">
        <v>TL</v>
      </c>
      <c r="G31" s="18" t="b">
        <v>1</v>
      </c>
      <c r="H31" s="19"/>
    </row>
    <row r="32" spans="1:8" x14ac:dyDescent="0.3">
      <c r="A32" s="17" t="str">
        <v>Obstsalat</v>
      </c>
      <c r="B32" s="18" t="str">
        <v>Eimer</v>
      </c>
      <c r="C32" s="18">
        <v>1</v>
      </c>
      <c r="D32" s="18">
        <v>2</v>
      </c>
      <c r="E32" s="18">
        <v>0</v>
      </c>
      <c r="F32" s="18" t="str">
        <v>KL</v>
      </c>
      <c r="G32" s="18" t="b">
        <v>1</v>
      </c>
      <c r="H32" s="19"/>
    </row>
    <row r="33" spans="1:8" x14ac:dyDescent="0.3">
      <c r="A33" s="17" t="str">
        <v>Pesto Rosso</v>
      </c>
      <c r="B33" s="18" t="str">
        <v>Stk</v>
      </c>
      <c r="C33" s="18">
        <v>3</v>
      </c>
      <c r="D33" s="18">
        <v>6</v>
      </c>
      <c r="E33" s="18">
        <v>0</v>
      </c>
      <c r="F33" s="18" t="str">
        <v>KL</v>
      </c>
      <c r="G33" s="18" t="b">
        <v>1</v>
      </c>
      <c r="H33" s="19"/>
    </row>
    <row r="34" spans="1:8" x14ac:dyDescent="0.3">
      <c r="A34" s="17" t="str">
        <v>Pesto Verde, Basilikum 1kg</v>
      </c>
      <c r="B34" s="18" t="str">
        <v>Stk</v>
      </c>
      <c r="C34" s="18">
        <v>3</v>
      </c>
      <c r="D34" s="18">
        <v>8</v>
      </c>
      <c r="E34" s="18">
        <v>0</v>
      </c>
      <c r="F34" s="18" t="str">
        <v>KL</v>
      </c>
      <c r="G34" s="18" t="b">
        <v>1</v>
      </c>
      <c r="H34" s="19"/>
    </row>
    <row r="35" spans="1:8" x14ac:dyDescent="0.3">
      <c r="A35" s="17" t="str">
        <v>Philadelphia</v>
      </c>
      <c r="B35" s="18" t="str">
        <v>Stk</v>
      </c>
      <c r="C35" s="18">
        <v>4</v>
      </c>
      <c r="D35" s="18">
        <v>8</v>
      </c>
      <c r="E35" s="18">
        <v>0</v>
      </c>
      <c r="F35" s="18" t="str">
        <v>KL</v>
      </c>
      <c r="G35" s="18" t="b">
        <v>1</v>
      </c>
      <c r="H35" s="19"/>
    </row>
    <row r="36" spans="1:8" x14ac:dyDescent="0.3">
      <c r="A36" s="17" t="str">
        <v>Portionen Majo</v>
      </c>
      <c r="B36" s="18" t="str">
        <v>Ktn</v>
      </c>
      <c r="C36" s="18">
        <v>3</v>
      </c>
      <c r="D36" s="18">
        <v>7</v>
      </c>
      <c r="E36" s="18">
        <v>0</v>
      </c>
      <c r="F36" s="18" t="str">
        <v>TL</v>
      </c>
      <c r="G36" s="18" t="b">
        <v>1</v>
      </c>
      <c r="H36" s="19"/>
    </row>
    <row r="37" spans="1:8" x14ac:dyDescent="0.3">
      <c r="A37" s="17" t="str">
        <v>Portionen Senf</v>
      </c>
      <c r="B37" s="18" t="str">
        <v>Ktn</v>
      </c>
      <c r="C37" s="18">
        <v>2</v>
      </c>
      <c r="D37" s="18">
        <v>4</v>
      </c>
      <c r="E37" s="18">
        <v>0</v>
      </c>
      <c r="F37" s="18" t="str">
        <v>TL</v>
      </c>
      <c r="G37" s="18" t="b">
        <v>1</v>
      </c>
      <c r="H37" s="19"/>
    </row>
    <row r="38" spans="1:8" x14ac:dyDescent="0.3">
      <c r="A38" s="17" t="str">
        <v>Portionen Tomatenketchup</v>
      </c>
      <c r="B38" s="18" t="str">
        <v>Ktn</v>
      </c>
      <c r="C38" s="18">
        <v>3</v>
      </c>
      <c r="D38" s="18">
        <v>5</v>
      </c>
      <c r="E38" s="18">
        <v>0</v>
      </c>
      <c r="F38" s="18" t="str">
        <v>TL</v>
      </c>
      <c r="G38" s="18" t="b">
        <v>1</v>
      </c>
      <c r="H38" s="19"/>
    </row>
    <row r="39" spans="1:8" x14ac:dyDescent="0.3">
      <c r="A39" s="17" t="str">
        <v>Reis, Basmati</v>
      </c>
      <c r="B39" s="18" t="str">
        <v>Btl</v>
      </c>
      <c r="C39" s="18">
        <v>2</v>
      </c>
      <c r="D39" s="18">
        <v>5</v>
      </c>
      <c r="E39" s="18">
        <v>0</v>
      </c>
      <c r="F39" s="18" t="str">
        <v>TL</v>
      </c>
      <c r="G39" s="18" t="b">
        <v>1</v>
      </c>
      <c r="H39" s="19"/>
    </row>
    <row r="40" spans="1:8" x14ac:dyDescent="0.3">
      <c r="A40" s="17" t="str">
        <v>Reis, Risotto</v>
      </c>
      <c r="B40" s="18" t="str">
        <v>Btl</v>
      </c>
      <c r="C40" s="18">
        <v>1</v>
      </c>
      <c r="D40" s="18">
        <v>3</v>
      </c>
      <c r="E40" s="18">
        <v>0</v>
      </c>
      <c r="F40" s="18" t="str">
        <v>TL</v>
      </c>
      <c r="G40" s="18" t="b">
        <v>1</v>
      </c>
      <c r="H40" s="19"/>
    </row>
    <row r="41" spans="1:8" x14ac:dyDescent="0.3">
      <c r="A41" s="17" t="str">
        <v>Rübensirup, Grafschafter Goldsaft</v>
      </c>
      <c r="B41" s="18" t="str">
        <v>Stk</v>
      </c>
      <c r="C41" s="18">
        <v>3</v>
      </c>
      <c r="D41" s="18">
        <v>9</v>
      </c>
      <c r="E41" s="18">
        <v>0</v>
      </c>
      <c r="F41" s="18" t="str">
        <v>TL</v>
      </c>
      <c r="G41" s="18" t="b">
        <v>1</v>
      </c>
      <c r="H41" s="19"/>
    </row>
    <row r="42" spans="1:8" x14ac:dyDescent="0.3">
      <c r="A42" s="17" t="str">
        <v>Salat Majo Tube</v>
      </c>
      <c r="B42" s="18" t="str">
        <v>Stk</v>
      </c>
      <c r="C42" s="18">
        <v>4</v>
      </c>
      <c r="D42" s="18">
        <v>12</v>
      </c>
      <c r="E42" s="18">
        <v>0</v>
      </c>
      <c r="F42" s="18" t="str">
        <v>KL</v>
      </c>
      <c r="G42" s="18" t="b">
        <v>1</v>
      </c>
      <c r="H42" s="19"/>
    </row>
    <row r="43" spans="1:8" x14ac:dyDescent="0.3">
      <c r="A43" s="17" t="str">
        <v>Siegelrandbeutel 150x250</v>
      </c>
      <c r="B43" s="18" t="str">
        <v>Ktn</v>
      </c>
      <c r="C43" s="18">
        <v>1</v>
      </c>
      <c r="D43" s="18">
        <v>2</v>
      </c>
      <c r="E43" s="18">
        <v>0</v>
      </c>
      <c r="F43" s="18" t="str">
        <v>TL</v>
      </c>
      <c r="G43" s="18" t="b">
        <v>1</v>
      </c>
      <c r="H43" s="19"/>
    </row>
    <row r="44" spans="1:8" x14ac:dyDescent="0.3">
      <c r="A44" s="17" t="str">
        <v>Siegelrandbeutel 160x240</v>
      </c>
      <c r="B44" s="18" t="str">
        <v>Ktn</v>
      </c>
      <c r="C44" s="18">
        <v>1</v>
      </c>
      <c r="D44" s="18">
        <v>2</v>
      </c>
      <c r="E44" s="18">
        <v>0</v>
      </c>
      <c r="F44" s="18" t="str">
        <v>TL</v>
      </c>
      <c r="G44" s="18" t="b">
        <v>1</v>
      </c>
      <c r="H44" s="19"/>
    </row>
    <row r="45" spans="1:8" x14ac:dyDescent="0.3">
      <c r="A45" s="17" t="str">
        <v>Siegelrandbeutel 250x300</v>
      </c>
      <c r="B45" s="18" t="str">
        <v>Ktn</v>
      </c>
      <c r="C45" s="18">
        <v>1</v>
      </c>
      <c r="D45" s="18">
        <v>1</v>
      </c>
      <c r="E45" s="18">
        <v>0</v>
      </c>
      <c r="F45" s="18" t="str">
        <v>TL</v>
      </c>
      <c r="G45" s="18" t="b">
        <v>1</v>
      </c>
      <c r="H45" s="19"/>
    </row>
    <row r="46" spans="1:8" x14ac:dyDescent="0.3">
      <c r="A46" s="17" t="str">
        <v>Sweet Chili</v>
      </c>
      <c r="B46" s="18" t="str">
        <v>Stk</v>
      </c>
      <c r="C46" s="18">
        <v>5</v>
      </c>
      <c r="D46" s="18">
        <v>10</v>
      </c>
      <c r="E46" s="18">
        <v>0</v>
      </c>
      <c r="F46" s="18" t="str">
        <v>TL</v>
      </c>
      <c r="G46" s="18" t="b">
        <v>1</v>
      </c>
      <c r="H46" s="19"/>
    </row>
    <row r="47" spans="1:8" ht="19.5" thickBot="1" x14ac:dyDescent="0.35">
      <c r="A47" s="20"/>
      <c r="B47" s="21"/>
      <c r="C47" s="21"/>
      <c r="D47" s="21"/>
      <c r="E47" s="21"/>
      <c r="F47" s="21"/>
      <c r="G47" s="21"/>
      <c r="H47" s="22"/>
    </row>
  </sheetData>
  <sheetProtection sheet="1"/>
  <conditionalFormatting sqref="C4:D47">
    <cfRule type="cellIs" dxfId="0" priority="1" stopIfTrue="1" operator="equal">
      <formula>0</formula>
    </cfRule>
  </conditionalFormatting>
  <pageMargins left="0.7" right="0.7" top="0.78740157499999996" bottom="0.78740157499999996" header="0.3" footer="0.3"/>
  <pageSetup paperSize="9" fitToHeight="0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D27BC-49A9-4470-88DC-09A8DDC5CCEC}">
  <sheetPr codeName="Tabelle2"/>
  <dimension ref="A1:G44"/>
  <sheetViews>
    <sheetView workbookViewId="0">
      <selection activeCell="A31" sqref="A31"/>
    </sheetView>
  </sheetViews>
  <sheetFormatPr baseColWidth="10" defaultRowHeight="12.75" x14ac:dyDescent="0.2"/>
  <cols>
    <col min="1" max="1" width="27" bestFit="1" customWidth="1"/>
    <col min="2" max="2" width="11.140625" bestFit="1" customWidth="1"/>
    <col min="3" max="3" width="6.5703125" bestFit="1" customWidth="1"/>
    <col min="4" max="4" width="7.140625" bestFit="1" customWidth="1"/>
    <col min="5" max="5" width="9.42578125" bestFit="1" customWidth="1"/>
    <col min="6" max="6" width="9.42578125" customWidth="1"/>
    <col min="7" max="7" width="8.28515625" bestFit="1" customWidth="1"/>
  </cols>
  <sheetData>
    <row r="1" spans="1:7" x14ac:dyDescent="0.2">
      <c r="A1" t="s">
        <v>5</v>
      </c>
      <c r="B1" t="s">
        <v>15</v>
      </c>
      <c r="C1" t="s">
        <v>17</v>
      </c>
      <c r="D1" t="s">
        <v>18</v>
      </c>
      <c r="E1" t="s">
        <v>7</v>
      </c>
      <c r="F1" t="s">
        <v>19</v>
      </c>
      <c r="G1" t="s">
        <v>16</v>
      </c>
    </row>
    <row r="2" spans="1:7" x14ac:dyDescent="0.2">
      <c r="A2" s="5" t="s">
        <v>27</v>
      </c>
      <c r="B2" s="5" t="s">
        <v>21</v>
      </c>
      <c r="C2">
        <v>6</v>
      </c>
      <c r="D2">
        <v>12</v>
      </c>
      <c r="F2" s="5" t="s">
        <v>26</v>
      </c>
      <c r="G2" s="74" t="b">
        <v>1</v>
      </c>
    </row>
    <row r="3" spans="1:7" x14ac:dyDescent="0.2">
      <c r="A3" s="5" t="s">
        <v>28</v>
      </c>
      <c r="B3" s="5" t="s">
        <v>21</v>
      </c>
      <c r="C3">
        <v>4</v>
      </c>
      <c r="D3">
        <v>8</v>
      </c>
      <c r="F3" s="5" t="s">
        <v>24</v>
      </c>
      <c r="G3" s="74" t="b">
        <v>1</v>
      </c>
    </row>
    <row r="4" spans="1:7" x14ac:dyDescent="0.2">
      <c r="A4" s="5" t="s">
        <v>29</v>
      </c>
      <c r="B4" s="5" t="s">
        <v>22</v>
      </c>
      <c r="C4">
        <v>4</v>
      </c>
      <c r="D4">
        <v>12</v>
      </c>
      <c r="F4" s="5" t="s">
        <v>24</v>
      </c>
      <c r="G4" s="74" t="b">
        <v>1</v>
      </c>
    </row>
    <row r="5" spans="1:7" x14ac:dyDescent="0.2">
      <c r="A5" s="5" t="s">
        <v>30</v>
      </c>
      <c r="B5" s="5" t="s">
        <v>21</v>
      </c>
      <c r="C5">
        <v>1</v>
      </c>
      <c r="D5">
        <v>3</v>
      </c>
      <c r="F5" s="5" t="s">
        <v>25</v>
      </c>
      <c r="G5" s="74" t="b">
        <v>1</v>
      </c>
    </row>
    <row r="6" spans="1:7" x14ac:dyDescent="0.2">
      <c r="A6" s="5" t="s">
        <v>31</v>
      </c>
      <c r="B6" s="5" t="s">
        <v>21</v>
      </c>
      <c r="C6">
        <v>1</v>
      </c>
      <c r="D6">
        <v>2</v>
      </c>
      <c r="F6" s="5" t="s">
        <v>25</v>
      </c>
      <c r="G6" s="74" t="b">
        <v>1</v>
      </c>
    </row>
    <row r="7" spans="1:7" x14ac:dyDescent="0.2">
      <c r="A7" s="5" t="s">
        <v>32</v>
      </c>
      <c r="B7" s="5" t="s">
        <v>21</v>
      </c>
      <c r="C7">
        <v>1</v>
      </c>
      <c r="D7">
        <v>2</v>
      </c>
      <c r="F7" s="5" t="s">
        <v>25</v>
      </c>
      <c r="G7" s="74" t="b">
        <v>1</v>
      </c>
    </row>
    <row r="8" spans="1:7" x14ac:dyDescent="0.2">
      <c r="A8" s="5" t="s">
        <v>35</v>
      </c>
      <c r="B8" s="5" t="s">
        <v>21</v>
      </c>
      <c r="C8">
        <v>1</v>
      </c>
      <c r="D8">
        <v>2</v>
      </c>
      <c r="F8" s="5" t="s">
        <v>25</v>
      </c>
      <c r="G8" s="74" t="b">
        <v>1</v>
      </c>
    </row>
    <row r="9" spans="1:7" x14ac:dyDescent="0.2">
      <c r="A9" s="5" t="s">
        <v>33</v>
      </c>
      <c r="B9" s="5" t="s">
        <v>21</v>
      </c>
      <c r="C9">
        <v>1</v>
      </c>
      <c r="D9">
        <v>2</v>
      </c>
      <c r="F9" s="5" t="s">
        <v>25</v>
      </c>
      <c r="G9" s="74" t="b">
        <v>1</v>
      </c>
    </row>
    <row r="10" spans="1:7" x14ac:dyDescent="0.2">
      <c r="A10" s="5" t="s">
        <v>34</v>
      </c>
      <c r="B10" s="5" t="s">
        <v>21</v>
      </c>
      <c r="C10">
        <v>1</v>
      </c>
      <c r="D10">
        <v>2</v>
      </c>
      <c r="F10" s="5" t="s">
        <v>25</v>
      </c>
      <c r="G10" s="74" t="b">
        <v>1</v>
      </c>
    </row>
    <row r="11" spans="1:7" x14ac:dyDescent="0.2">
      <c r="A11" s="5" t="s">
        <v>36</v>
      </c>
      <c r="B11" s="5" t="s">
        <v>22</v>
      </c>
      <c r="C11">
        <v>5</v>
      </c>
      <c r="D11">
        <v>15</v>
      </c>
      <c r="F11" s="5" t="s">
        <v>25</v>
      </c>
      <c r="G11" s="74" t="b">
        <v>1</v>
      </c>
    </row>
    <row r="12" spans="1:7" x14ac:dyDescent="0.2">
      <c r="A12" s="5" t="s">
        <v>66</v>
      </c>
      <c r="B12" s="5" t="s">
        <v>22</v>
      </c>
      <c r="C12">
        <v>6</v>
      </c>
      <c r="D12">
        <v>12</v>
      </c>
      <c r="F12" s="5" t="s">
        <v>25</v>
      </c>
      <c r="G12" s="74" t="b">
        <v>1</v>
      </c>
    </row>
    <row r="13" spans="1:7" x14ac:dyDescent="0.2">
      <c r="A13" s="5" t="s">
        <v>37</v>
      </c>
      <c r="B13" s="5" t="s">
        <v>23</v>
      </c>
      <c r="C13">
        <v>2</v>
      </c>
      <c r="D13">
        <v>4</v>
      </c>
      <c r="F13" s="5" t="s">
        <v>25</v>
      </c>
      <c r="G13" s="74" t="b">
        <v>1</v>
      </c>
    </row>
    <row r="14" spans="1:7" x14ac:dyDescent="0.2">
      <c r="A14" s="5" t="s">
        <v>38</v>
      </c>
      <c r="B14" s="5" t="s">
        <v>23</v>
      </c>
      <c r="C14">
        <v>1</v>
      </c>
      <c r="D14">
        <v>2</v>
      </c>
      <c r="F14" s="5" t="s">
        <v>25</v>
      </c>
      <c r="G14" s="74" t="b">
        <v>1</v>
      </c>
    </row>
    <row r="15" spans="1:7" x14ac:dyDescent="0.2">
      <c r="A15" s="5" t="s">
        <v>39</v>
      </c>
      <c r="B15" s="5" t="s">
        <v>23</v>
      </c>
      <c r="C15">
        <v>2</v>
      </c>
      <c r="D15">
        <v>4</v>
      </c>
      <c r="F15" s="5" t="s">
        <v>25</v>
      </c>
      <c r="G15" s="74" t="b">
        <v>1</v>
      </c>
    </row>
    <row r="16" spans="1:7" x14ac:dyDescent="0.2">
      <c r="A16" s="5" t="s">
        <v>40</v>
      </c>
      <c r="B16" s="5" t="s">
        <v>23</v>
      </c>
      <c r="C16">
        <v>1</v>
      </c>
      <c r="D16">
        <v>3</v>
      </c>
      <c r="F16" s="5" t="s">
        <v>25</v>
      </c>
      <c r="G16" s="74" t="b">
        <v>1</v>
      </c>
    </row>
    <row r="17" spans="1:7" x14ac:dyDescent="0.2">
      <c r="A17" s="5" t="s">
        <v>67</v>
      </c>
      <c r="B17" s="5" t="s">
        <v>22</v>
      </c>
      <c r="C17">
        <v>3</v>
      </c>
      <c r="D17">
        <v>6</v>
      </c>
      <c r="F17" s="5" t="s">
        <v>25</v>
      </c>
      <c r="G17" s="74" t="b">
        <v>1</v>
      </c>
    </row>
    <row r="18" spans="1:7" x14ac:dyDescent="0.2">
      <c r="A18" s="5" t="s">
        <v>41</v>
      </c>
      <c r="B18" s="5" t="s">
        <v>21</v>
      </c>
      <c r="C18">
        <v>5</v>
      </c>
      <c r="D18">
        <v>10</v>
      </c>
      <c r="F18" s="5" t="s">
        <v>24</v>
      </c>
      <c r="G18" s="74" t="b">
        <v>1</v>
      </c>
    </row>
    <row r="19" spans="1:7" x14ac:dyDescent="0.2">
      <c r="A19" s="5" t="s">
        <v>65</v>
      </c>
      <c r="B19" s="5" t="s">
        <v>23</v>
      </c>
      <c r="C19">
        <v>4</v>
      </c>
      <c r="D19">
        <v>8</v>
      </c>
      <c r="F19" s="5" t="s">
        <v>25</v>
      </c>
      <c r="G19" s="74" t="b">
        <v>1</v>
      </c>
    </row>
    <row r="20" spans="1:7" x14ac:dyDescent="0.2">
      <c r="A20" s="5" t="s">
        <v>42</v>
      </c>
      <c r="B20" s="5" t="s">
        <v>64</v>
      </c>
      <c r="C20">
        <v>1</v>
      </c>
      <c r="D20">
        <v>2</v>
      </c>
      <c r="F20" s="5" t="s">
        <v>24</v>
      </c>
      <c r="G20" s="74" t="b">
        <v>1</v>
      </c>
    </row>
    <row r="21" spans="1:7" x14ac:dyDescent="0.2">
      <c r="A21" s="5" t="s">
        <v>43</v>
      </c>
      <c r="B21" s="5" t="s">
        <v>23</v>
      </c>
      <c r="C21">
        <v>3</v>
      </c>
      <c r="D21">
        <v>5</v>
      </c>
      <c r="F21" s="5" t="s">
        <v>25</v>
      </c>
      <c r="G21" s="74" t="b">
        <v>1</v>
      </c>
    </row>
    <row r="22" spans="1:7" x14ac:dyDescent="0.2">
      <c r="A22" s="5" t="s">
        <v>68</v>
      </c>
      <c r="B22" s="5" t="s">
        <v>23</v>
      </c>
      <c r="C22">
        <v>3</v>
      </c>
      <c r="D22">
        <v>5</v>
      </c>
      <c r="F22" s="5" t="s">
        <v>26</v>
      </c>
      <c r="G22" s="74" t="b">
        <v>1</v>
      </c>
    </row>
    <row r="23" spans="1:7" x14ac:dyDescent="0.2">
      <c r="A23" s="5" t="s">
        <v>69</v>
      </c>
      <c r="B23" s="5" t="s">
        <v>23</v>
      </c>
      <c r="C23">
        <v>3</v>
      </c>
      <c r="D23">
        <v>7</v>
      </c>
      <c r="F23" s="5" t="s">
        <v>26</v>
      </c>
      <c r="G23" s="74" t="b">
        <v>1</v>
      </c>
    </row>
    <row r="24" spans="1:7" x14ac:dyDescent="0.2">
      <c r="A24" s="5" t="s">
        <v>44</v>
      </c>
      <c r="B24" s="5" t="s">
        <v>21</v>
      </c>
      <c r="C24">
        <v>4</v>
      </c>
      <c r="D24">
        <v>12</v>
      </c>
      <c r="F24" s="5" t="s">
        <v>24</v>
      </c>
      <c r="G24" s="74" t="b">
        <v>1</v>
      </c>
    </row>
    <row r="25" spans="1:7" x14ac:dyDescent="0.2">
      <c r="A25" s="5" t="s">
        <v>45</v>
      </c>
      <c r="B25" s="5" t="s">
        <v>21</v>
      </c>
      <c r="C25">
        <v>5</v>
      </c>
      <c r="D25">
        <v>10</v>
      </c>
      <c r="F25" s="5" t="s">
        <v>26</v>
      </c>
      <c r="G25" s="74" t="b">
        <v>1</v>
      </c>
    </row>
    <row r="26" spans="1:7" x14ac:dyDescent="0.2">
      <c r="A26" s="5" t="s">
        <v>46</v>
      </c>
      <c r="B26" s="5" t="s">
        <v>21</v>
      </c>
      <c r="C26">
        <v>3</v>
      </c>
      <c r="D26">
        <v>6</v>
      </c>
      <c r="F26" s="5" t="s">
        <v>24</v>
      </c>
      <c r="G26" s="74" t="b">
        <v>1</v>
      </c>
    </row>
    <row r="27" spans="1:7" x14ac:dyDescent="0.2">
      <c r="A27" s="5" t="s">
        <v>47</v>
      </c>
      <c r="B27" s="5" t="s">
        <v>21</v>
      </c>
      <c r="C27">
        <v>3</v>
      </c>
      <c r="D27">
        <v>8</v>
      </c>
      <c r="F27" s="5" t="s">
        <v>24</v>
      </c>
      <c r="G27" s="74" t="b">
        <v>1</v>
      </c>
    </row>
    <row r="28" spans="1:7" x14ac:dyDescent="0.2">
      <c r="A28" s="5" t="s">
        <v>48</v>
      </c>
      <c r="B28" s="5" t="s">
        <v>21</v>
      </c>
      <c r="C28">
        <v>2</v>
      </c>
      <c r="D28">
        <v>6</v>
      </c>
      <c r="F28" s="5" t="s">
        <v>26</v>
      </c>
      <c r="G28" s="74" t="b">
        <v>1</v>
      </c>
    </row>
    <row r="29" spans="1:7" x14ac:dyDescent="0.2">
      <c r="A29" s="5" t="s">
        <v>49</v>
      </c>
      <c r="B29" s="5" t="s">
        <v>21</v>
      </c>
      <c r="C29">
        <v>2</v>
      </c>
      <c r="D29">
        <v>6</v>
      </c>
      <c r="F29" s="5" t="s">
        <v>26</v>
      </c>
      <c r="G29" s="74" t="b">
        <v>1</v>
      </c>
    </row>
    <row r="30" spans="1:7" x14ac:dyDescent="0.2">
      <c r="A30" s="5" t="s">
        <v>70</v>
      </c>
      <c r="B30" s="5" t="s">
        <v>23</v>
      </c>
      <c r="C30">
        <v>2</v>
      </c>
      <c r="D30">
        <v>4</v>
      </c>
      <c r="F30" s="5" t="s">
        <v>26</v>
      </c>
      <c r="G30" s="74" t="b">
        <v>1</v>
      </c>
    </row>
    <row r="31" spans="1:7" x14ac:dyDescent="0.2">
      <c r="A31" s="5" t="s">
        <v>50</v>
      </c>
      <c r="B31" s="5" t="s">
        <v>21</v>
      </c>
      <c r="C31">
        <v>3</v>
      </c>
      <c r="D31">
        <v>6</v>
      </c>
      <c r="F31" s="5" t="s">
        <v>26</v>
      </c>
      <c r="G31" s="74" t="b">
        <v>1</v>
      </c>
    </row>
    <row r="32" spans="1:7" x14ac:dyDescent="0.2">
      <c r="A32" s="5" t="s">
        <v>51</v>
      </c>
      <c r="B32" s="5" t="s">
        <v>21</v>
      </c>
      <c r="C32">
        <v>8</v>
      </c>
      <c r="D32">
        <v>24</v>
      </c>
      <c r="F32" s="5" t="s">
        <v>26</v>
      </c>
      <c r="G32" s="74" t="b">
        <v>1</v>
      </c>
    </row>
    <row r="33" spans="1:7" x14ac:dyDescent="0.2">
      <c r="A33" s="5" t="s">
        <v>52</v>
      </c>
      <c r="B33" s="5" t="s">
        <v>22</v>
      </c>
      <c r="C33">
        <v>2</v>
      </c>
      <c r="D33">
        <v>5</v>
      </c>
      <c r="F33" s="5" t="s">
        <v>26</v>
      </c>
      <c r="G33" s="74" t="b">
        <v>1</v>
      </c>
    </row>
    <row r="34" spans="1:7" x14ac:dyDescent="0.2">
      <c r="A34" s="5" t="s">
        <v>53</v>
      </c>
      <c r="B34" s="5" t="s">
        <v>22</v>
      </c>
      <c r="C34">
        <v>1</v>
      </c>
      <c r="D34">
        <v>3</v>
      </c>
      <c r="F34" s="5" t="s">
        <v>26</v>
      </c>
      <c r="G34" s="74" t="b">
        <v>1</v>
      </c>
    </row>
    <row r="35" spans="1:7" x14ac:dyDescent="0.2">
      <c r="A35" s="5" t="s">
        <v>54</v>
      </c>
      <c r="B35" s="5" t="s">
        <v>23</v>
      </c>
      <c r="C35">
        <v>1</v>
      </c>
      <c r="D35">
        <v>2</v>
      </c>
      <c r="F35" s="5" t="s">
        <v>26</v>
      </c>
      <c r="G35" s="74" t="b">
        <v>1</v>
      </c>
    </row>
    <row r="36" spans="1:7" x14ac:dyDescent="0.2">
      <c r="A36" s="5" t="s">
        <v>55</v>
      </c>
      <c r="B36" s="5" t="s">
        <v>23</v>
      </c>
      <c r="C36">
        <v>1</v>
      </c>
      <c r="D36">
        <v>2</v>
      </c>
      <c r="F36" s="5" t="s">
        <v>26</v>
      </c>
      <c r="G36" s="74" t="b">
        <v>1</v>
      </c>
    </row>
    <row r="37" spans="1:7" x14ac:dyDescent="0.2">
      <c r="A37" s="5" t="s">
        <v>56</v>
      </c>
      <c r="B37" s="5" t="s">
        <v>23</v>
      </c>
      <c r="C37">
        <v>1</v>
      </c>
      <c r="D37">
        <v>1</v>
      </c>
      <c r="F37" s="5" t="s">
        <v>26</v>
      </c>
      <c r="G37" s="74" t="b">
        <v>1</v>
      </c>
    </row>
    <row r="38" spans="1:7" x14ac:dyDescent="0.2">
      <c r="A38" s="5" t="s">
        <v>57</v>
      </c>
      <c r="B38" s="5" t="s">
        <v>21</v>
      </c>
      <c r="C38">
        <v>1</v>
      </c>
      <c r="D38">
        <v>1</v>
      </c>
      <c r="F38" s="5" t="s">
        <v>24</v>
      </c>
      <c r="G38" s="74" t="b">
        <v>1</v>
      </c>
    </row>
    <row r="39" spans="1:7" x14ac:dyDescent="0.2">
      <c r="A39" s="5" t="s">
        <v>58</v>
      </c>
      <c r="B39" s="5" t="s">
        <v>21</v>
      </c>
      <c r="C39">
        <v>4</v>
      </c>
      <c r="D39">
        <v>8</v>
      </c>
      <c r="F39" s="5" t="s">
        <v>26</v>
      </c>
      <c r="G39" s="74" t="b">
        <v>1</v>
      </c>
    </row>
    <row r="40" spans="1:7" x14ac:dyDescent="0.2">
      <c r="A40" s="5" t="s">
        <v>59</v>
      </c>
      <c r="B40" s="5" t="s">
        <v>21</v>
      </c>
      <c r="C40">
        <v>1</v>
      </c>
      <c r="D40">
        <v>2</v>
      </c>
      <c r="F40" s="5" t="s">
        <v>26</v>
      </c>
      <c r="G40" s="74" t="b">
        <v>1</v>
      </c>
    </row>
    <row r="41" spans="1:7" x14ac:dyDescent="0.2">
      <c r="A41" s="5" t="s">
        <v>60</v>
      </c>
      <c r="B41" s="5" t="s">
        <v>23</v>
      </c>
      <c r="C41">
        <v>1</v>
      </c>
      <c r="D41">
        <v>2</v>
      </c>
      <c r="F41" s="5" t="s">
        <v>25</v>
      </c>
      <c r="G41" s="74" t="b">
        <v>1</v>
      </c>
    </row>
    <row r="42" spans="1:7" x14ac:dyDescent="0.2">
      <c r="A42" s="5" t="s">
        <v>61</v>
      </c>
      <c r="B42" s="5" t="s">
        <v>21</v>
      </c>
      <c r="C42">
        <v>1</v>
      </c>
      <c r="D42">
        <v>3</v>
      </c>
      <c r="F42" s="5" t="s">
        <v>26</v>
      </c>
      <c r="G42" s="74" t="b">
        <v>1</v>
      </c>
    </row>
    <row r="43" spans="1:7" x14ac:dyDescent="0.2">
      <c r="A43" s="5" t="s">
        <v>62</v>
      </c>
      <c r="B43" s="5" t="s">
        <v>22</v>
      </c>
      <c r="C43">
        <v>3</v>
      </c>
      <c r="D43">
        <v>6</v>
      </c>
      <c r="F43" s="5" t="s">
        <v>26</v>
      </c>
      <c r="G43" s="74" t="b">
        <v>1</v>
      </c>
    </row>
    <row r="44" spans="1:7" x14ac:dyDescent="0.2">
      <c r="A44" s="5" t="s">
        <v>63</v>
      </c>
      <c r="B44" s="5" t="s">
        <v>21</v>
      </c>
      <c r="C44">
        <v>3</v>
      </c>
      <c r="D44">
        <v>9</v>
      </c>
      <c r="F44" s="5" t="s">
        <v>26</v>
      </c>
      <c r="G44" s="74" t="b">
        <v>1</v>
      </c>
    </row>
  </sheetData>
  <phoneticPr fontId="0" type="noConversion"/>
  <pageMargins left="0.78740157499999996" right="0.78740157499999996" top="0.984251969" bottom="0.984251969" header="0.4921259845" footer="0.4921259845"/>
  <headerFooter alignWithMargins="0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B665E-5872-4157-AEDF-F8BD287B32EB}">
  <sheetPr codeName="Tabelle3"/>
  <dimension ref="A1:H43"/>
  <sheetViews>
    <sheetView workbookViewId="0">
      <selection activeCell="A8" sqref="A8"/>
    </sheetView>
  </sheetViews>
  <sheetFormatPr baseColWidth="10" defaultRowHeight="12.75" x14ac:dyDescent="0.2"/>
  <cols>
    <col min="1" max="1" width="23.42578125" style="6" bestFit="1" customWidth="1"/>
    <col min="2" max="2" width="11.140625" style="6" bestFit="1" customWidth="1"/>
    <col min="3" max="3" width="2" style="6" bestFit="1" customWidth="1"/>
    <col min="4" max="4" width="6.7109375" style="6" bestFit="1" customWidth="1"/>
    <col min="5" max="6" width="6.7109375" style="6" customWidth="1"/>
    <col min="7" max="8" width="11.42578125" style="6"/>
  </cols>
  <sheetData>
    <row r="1" spans="1:8" ht="13.5" thickBot="1" x14ac:dyDescent="0.25">
      <c r="A1" s="6" t="str" cm="1">
        <f t="array" ref="A1:G43">_xlfn._xlws.SORT(_xlfn._xlws.FILTER(tblArtikel[],(tblArtikel[Aktiv])))</f>
        <v>Backhendl</v>
      </c>
      <c r="B1" s="6" t="str">
        <v>Btl</v>
      </c>
      <c r="C1" s="6">
        <v>5</v>
      </c>
      <c r="D1" s="6">
        <v>15</v>
      </c>
      <c r="E1" s="6">
        <v>0</v>
      </c>
      <c r="F1" s="6" t="str">
        <v>TK</v>
      </c>
      <c r="G1" s="6" t="b">
        <v>1</v>
      </c>
      <c r="H1" s="7">
        <f>ROWS(_xlfn.ANCHORARRAY(hlpA))</f>
        <v>43</v>
      </c>
    </row>
    <row r="2" spans="1:8" x14ac:dyDescent="0.2">
      <c r="A2" s="6" t="str">
        <v>Bagel Sesam</v>
      </c>
      <c r="B2" s="6" t="str">
        <v>Ktn</v>
      </c>
      <c r="C2" s="6">
        <v>1</v>
      </c>
      <c r="D2" s="6">
        <v>2</v>
      </c>
      <c r="E2" s="6">
        <v>0</v>
      </c>
      <c r="F2" s="6" t="str">
        <v>TK</v>
      </c>
      <c r="G2" s="6" t="b">
        <v>1</v>
      </c>
    </row>
    <row r="3" spans="1:8" x14ac:dyDescent="0.2">
      <c r="A3" s="6" t="str">
        <v>Belgische Zuckerwaffel</v>
      </c>
      <c r="B3" s="6" t="str">
        <v>Ktn</v>
      </c>
      <c r="C3" s="6">
        <v>1</v>
      </c>
      <c r="D3" s="6">
        <v>3</v>
      </c>
      <c r="E3" s="6">
        <v>0</v>
      </c>
      <c r="F3" s="6" t="str">
        <v>TK</v>
      </c>
      <c r="G3" s="6" t="b">
        <v>1</v>
      </c>
    </row>
    <row r="4" spans="1:8" x14ac:dyDescent="0.2">
      <c r="A4" s="6" t="str">
        <v>Blütenhonig Spender</v>
      </c>
      <c r="B4" s="6" t="str">
        <v>Stk</v>
      </c>
      <c r="C4" s="6">
        <v>8</v>
      </c>
      <c r="D4" s="6">
        <v>24</v>
      </c>
      <c r="E4" s="6">
        <v>0</v>
      </c>
      <c r="F4" s="6" t="str">
        <v>TL</v>
      </c>
      <c r="G4" s="6" t="b">
        <v>1</v>
      </c>
    </row>
    <row r="5" spans="1:8" x14ac:dyDescent="0.2">
      <c r="A5" s="6" t="str">
        <v>Burger, Angus</v>
      </c>
      <c r="B5" s="6" t="str">
        <v>Ktn</v>
      </c>
      <c r="C5" s="6">
        <v>4</v>
      </c>
      <c r="D5" s="6">
        <v>8</v>
      </c>
      <c r="E5" s="6">
        <v>0</v>
      </c>
      <c r="F5" s="6" t="str">
        <v>TK</v>
      </c>
      <c r="G5" s="6" t="b">
        <v>1</v>
      </c>
    </row>
    <row r="6" spans="1:8" x14ac:dyDescent="0.2">
      <c r="A6" s="6" t="str">
        <v>Burger, Crunchy Chicken</v>
      </c>
      <c r="B6" s="6" t="str">
        <v>Btl</v>
      </c>
      <c r="C6" s="6">
        <v>6</v>
      </c>
      <c r="D6" s="6">
        <v>12</v>
      </c>
      <c r="E6" s="6">
        <v>0</v>
      </c>
      <c r="F6" s="6" t="str">
        <v>TK</v>
      </c>
      <c r="G6" s="6" t="b">
        <v>1</v>
      </c>
    </row>
    <row r="7" spans="1:8" x14ac:dyDescent="0.2">
      <c r="A7" s="6" t="str">
        <v>Burger, Dinkel-</v>
      </c>
      <c r="B7" s="6" t="str">
        <v>Btl</v>
      </c>
      <c r="C7" s="6">
        <v>3</v>
      </c>
      <c r="D7" s="6">
        <v>6</v>
      </c>
      <c r="E7" s="6">
        <v>0</v>
      </c>
      <c r="F7" s="6" t="str">
        <v>TK</v>
      </c>
      <c r="G7" s="6" t="b">
        <v>1</v>
      </c>
    </row>
    <row r="8" spans="1:8" x14ac:dyDescent="0.2">
      <c r="A8" s="6" t="str">
        <v>Carpaccio</v>
      </c>
      <c r="B8" s="6" t="str">
        <v>Ktn</v>
      </c>
      <c r="C8" s="6">
        <v>3</v>
      </c>
      <c r="D8" s="6">
        <v>5</v>
      </c>
      <c r="E8" s="6">
        <v>0</v>
      </c>
      <c r="F8" s="6" t="str">
        <v>TK</v>
      </c>
      <c r="G8" s="6" t="b">
        <v>1</v>
      </c>
    </row>
    <row r="9" spans="1:8" x14ac:dyDescent="0.2">
      <c r="A9" s="6" t="str">
        <v>Cous cous 1kg</v>
      </c>
      <c r="B9" s="6" t="str">
        <v>Stk</v>
      </c>
      <c r="C9" s="6">
        <v>4</v>
      </c>
      <c r="D9" s="6">
        <v>8</v>
      </c>
      <c r="E9" s="6">
        <v>0</v>
      </c>
      <c r="F9" s="6" t="str">
        <v>TL</v>
      </c>
      <c r="G9" s="6" t="b">
        <v>1</v>
      </c>
    </row>
    <row r="10" spans="1:8" x14ac:dyDescent="0.2">
      <c r="A10" s="6" t="str">
        <v>Croutons, Kräuter</v>
      </c>
      <c r="B10" s="6" t="str">
        <v>Btl</v>
      </c>
      <c r="C10" s="6">
        <v>3</v>
      </c>
      <c r="D10" s="6">
        <v>6</v>
      </c>
      <c r="E10" s="6">
        <v>0</v>
      </c>
      <c r="F10" s="6" t="str">
        <v>TL</v>
      </c>
      <c r="G10" s="6" t="b">
        <v>1</v>
      </c>
    </row>
    <row r="11" spans="1:8" x14ac:dyDescent="0.2">
      <c r="A11" s="6" t="str">
        <v>Eis, Erdbeer</v>
      </c>
      <c r="B11" s="6" t="str">
        <v>Stk</v>
      </c>
      <c r="C11" s="6">
        <v>1</v>
      </c>
      <c r="D11" s="6">
        <v>2</v>
      </c>
      <c r="E11" s="6">
        <v>0</v>
      </c>
      <c r="F11" s="6" t="str">
        <v>TK</v>
      </c>
      <c r="G11" s="6" t="b">
        <v>1</v>
      </c>
    </row>
    <row r="12" spans="1:8" x14ac:dyDescent="0.2">
      <c r="A12" s="6" t="str">
        <v>Eis, Schoko</v>
      </c>
      <c r="B12" s="6" t="str">
        <v>Stk</v>
      </c>
      <c r="C12" s="6">
        <v>1</v>
      </c>
      <c r="D12" s="6">
        <v>2</v>
      </c>
      <c r="E12" s="6">
        <v>0</v>
      </c>
      <c r="F12" s="6" t="str">
        <v>TK</v>
      </c>
      <c r="G12" s="6" t="b">
        <v>1</v>
      </c>
    </row>
    <row r="13" spans="1:8" x14ac:dyDescent="0.2">
      <c r="A13" s="6" t="str">
        <v>Eis, Sorbet, Cassis</v>
      </c>
      <c r="B13" s="6" t="str">
        <v>Stk</v>
      </c>
      <c r="C13" s="6">
        <v>1</v>
      </c>
      <c r="D13" s="6">
        <v>2</v>
      </c>
      <c r="E13" s="6">
        <v>0</v>
      </c>
      <c r="F13" s="6" t="str">
        <v>TK</v>
      </c>
      <c r="G13" s="6" t="b">
        <v>1</v>
      </c>
    </row>
    <row r="14" spans="1:8" x14ac:dyDescent="0.2">
      <c r="A14" s="6" t="str">
        <v>Eis, Sorbet, Passionsfrucht</v>
      </c>
      <c r="B14" s="6" t="str">
        <v>Stk</v>
      </c>
      <c r="C14" s="6">
        <v>1</v>
      </c>
      <c r="D14" s="6">
        <v>2</v>
      </c>
      <c r="E14" s="6">
        <v>0</v>
      </c>
      <c r="F14" s="6" t="str">
        <v>TK</v>
      </c>
      <c r="G14" s="6" t="b">
        <v>1</v>
      </c>
    </row>
    <row r="15" spans="1:8" x14ac:dyDescent="0.2">
      <c r="A15" s="6" t="str">
        <v>Eis, Sorbet, Zitronen</v>
      </c>
      <c r="B15" s="6" t="str">
        <v>Stk</v>
      </c>
      <c r="C15" s="6">
        <v>1</v>
      </c>
      <c r="D15" s="6">
        <v>2</v>
      </c>
      <c r="E15" s="6">
        <v>0</v>
      </c>
      <c r="F15" s="6" t="str">
        <v>TK</v>
      </c>
      <c r="G15" s="6" t="b">
        <v>1</v>
      </c>
    </row>
    <row r="16" spans="1:8" x14ac:dyDescent="0.2">
      <c r="A16" s="6" t="str">
        <v>Eis, Vanille</v>
      </c>
      <c r="B16" s="6" t="str">
        <v>Stk</v>
      </c>
      <c r="C16" s="6">
        <v>1</v>
      </c>
      <c r="D16" s="6">
        <v>3</v>
      </c>
      <c r="E16" s="6">
        <v>0</v>
      </c>
      <c r="F16" s="6" t="str">
        <v>TK</v>
      </c>
      <c r="G16" s="6" t="b">
        <v>1</v>
      </c>
    </row>
    <row r="17" spans="1:7" x14ac:dyDescent="0.2">
      <c r="A17" s="6" t="str">
        <v>Grana Padano</v>
      </c>
      <c r="B17" s="6" t="str">
        <v>Btl</v>
      </c>
      <c r="C17" s="6">
        <v>4</v>
      </c>
      <c r="D17" s="6">
        <v>12</v>
      </c>
      <c r="E17" s="6">
        <v>0</v>
      </c>
      <c r="F17" s="6" t="str">
        <v>KL</v>
      </c>
      <c r="G17" s="6" t="b">
        <v>1</v>
      </c>
    </row>
    <row r="18" spans="1:7" x14ac:dyDescent="0.2">
      <c r="A18" s="6" t="str">
        <v>Guacamole Supreme</v>
      </c>
      <c r="B18" s="6" t="str">
        <v>Ktn</v>
      </c>
      <c r="C18" s="6">
        <v>1</v>
      </c>
      <c r="D18" s="6">
        <v>2</v>
      </c>
      <c r="E18" s="6">
        <v>0</v>
      </c>
      <c r="F18" s="6" t="str">
        <v>TK</v>
      </c>
      <c r="G18" s="6" t="b">
        <v>1</v>
      </c>
    </row>
    <row r="19" spans="1:7" x14ac:dyDescent="0.2">
      <c r="A19" s="6" t="str">
        <v>Kalamata Oliven</v>
      </c>
      <c r="B19" s="6" t="str">
        <v>Stk</v>
      </c>
      <c r="C19" s="6">
        <v>3</v>
      </c>
      <c r="D19" s="6">
        <v>6</v>
      </c>
      <c r="E19" s="6">
        <v>0</v>
      </c>
      <c r="F19" s="6" t="str">
        <v>TL</v>
      </c>
      <c r="G19" s="6" t="b">
        <v>1</v>
      </c>
    </row>
    <row r="20" spans="1:7" x14ac:dyDescent="0.2">
      <c r="A20" s="6" t="str">
        <v>Kapern fines, 720ml</v>
      </c>
      <c r="B20" s="6" t="str">
        <v>Stk</v>
      </c>
      <c r="C20" s="6">
        <v>1</v>
      </c>
      <c r="D20" s="6">
        <v>3</v>
      </c>
      <c r="E20" s="6">
        <v>0</v>
      </c>
      <c r="F20" s="6" t="str">
        <v>TL</v>
      </c>
      <c r="G20" s="6" t="b">
        <v>1</v>
      </c>
    </row>
    <row r="21" spans="1:7" x14ac:dyDescent="0.2">
      <c r="A21" s="6" t="str">
        <v>Knoblauch, gehackt</v>
      </c>
      <c r="B21" s="6" t="str">
        <v>Stk</v>
      </c>
      <c r="C21" s="6">
        <v>1</v>
      </c>
      <c r="D21" s="6">
        <v>1</v>
      </c>
      <c r="E21" s="6">
        <v>0</v>
      </c>
      <c r="F21" s="6" t="str">
        <v>KL</v>
      </c>
      <c r="G21" s="6" t="b">
        <v>1</v>
      </c>
    </row>
    <row r="22" spans="1:7" x14ac:dyDescent="0.2">
      <c r="A22" s="6" t="str">
        <v>Kokosmilch</v>
      </c>
      <c r="B22" s="6" t="str">
        <v>Stk</v>
      </c>
      <c r="C22" s="6">
        <v>6</v>
      </c>
      <c r="D22" s="6">
        <v>12</v>
      </c>
      <c r="E22" s="6">
        <v>0</v>
      </c>
      <c r="F22" s="6" t="str">
        <v>TL</v>
      </c>
      <c r="G22" s="6" t="b">
        <v>1</v>
      </c>
    </row>
    <row r="23" spans="1:7" x14ac:dyDescent="0.2">
      <c r="A23" s="6" t="str">
        <v>Lachs 150g Pt.</v>
      </c>
      <c r="B23" s="6" t="str">
        <v>Ktn</v>
      </c>
      <c r="C23" s="6">
        <v>2</v>
      </c>
      <c r="D23" s="6">
        <v>4</v>
      </c>
      <c r="E23" s="6">
        <v>0</v>
      </c>
      <c r="F23" s="6" t="str">
        <v>TK</v>
      </c>
      <c r="G23" s="6" t="b">
        <v>1</v>
      </c>
    </row>
    <row r="24" spans="1:7" x14ac:dyDescent="0.2">
      <c r="A24" s="6" t="str">
        <v>Linsen Quinoa Salat</v>
      </c>
      <c r="B24" s="6" t="str">
        <v>Stk</v>
      </c>
      <c r="C24" s="6">
        <v>5</v>
      </c>
      <c r="D24" s="6">
        <v>10</v>
      </c>
      <c r="E24" s="6">
        <v>0</v>
      </c>
      <c r="F24" s="6" t="str">
        <v>KL</v>
      </c>
      <c r="G24" s="6" t="b">
        <v>1</v>
      </c>
    </row>
    <row r="25" spans="1:7" x14ac:dyDescent="0.2">
      <c r="A25" s="6" t="str">
        <v>Media Gallega</v>
      </c>
      <c r="B25" s="6" t="str">
        <v>Ktn</v>
      </c>
      <c r="C25" s="6">
        <v>2</v>
      </c>
      <c r="D25" s="6">
        <v>4</v>
      </c>
      <c r="E25" s="6">
        <v>0</v>
      </c>
      <c r="F25" s="6" t="str">
        <v>TK</v>
      </c>
      <c r="G25" s="6" t="b">
        <v>1</v>
      </c>
    </row>
    <row r="26" spans="1:7" x14ac:dyDescent="0.2">
      <c r="A26" s="6" t="str">
        <v>Mondamin dunkel</v>
      </c>
      <c r="B26" s="6" t="str">
        <v>Stk</v>
      </c>
      <c r="C26" s="6">
        <v>2</v>
      </c>
      <c r="D26" s="6">
        <v>6</v>
      </c>
      <c r="E26" s="6">
        <v>0</v>
      </c>
      <c r="F26" s="6" t="str">
        <v>TL</v>
      </c>
      <c r="G26" s="6" t="b">
        <v>1</v>
      </c>
    </row>
    <row r="27" spans="1:7" x14ac:dyDescent="0.2">
      <c r="A27" s="6" t="str">
        <v>Mondamin hell</v>
      </c>
      <c r="B27" s="6" t="str">
        <v>Stk</v>
      </c>
      <c r="C27" s="6">
        <v>2</v>
      </c>
      <c r="D27" s="6">
        <v>6</v>
      </c>
      <c r="E27" s="6">
        <v>0</v>
      </c>
      <c r="F27" s="6" t="str">
        <v>TL</v>
      </c>
      <c r="G27" s="6" t="b">
        <v>1</v>
      </c>
    </row>
    <row r="28" spans="1:7" x14ac:dyDescent="0.2">
      <c r="A28" s="6" t="str">
        <v>Noilly Prat</v>
      </c>
      <c r="B28" s="6" t="str">
        <v>Stk</v>
      </c>
      <c r="C28" s="6">
        <v>1</v>
      </c>
      <c r="D28" s="6">
        <v>2</v>
      </c>
      <c r="E28" s="6">
        <v>0</v>
      </c>
      <c r="F28" s="6" t="str">
        <v>TL</v>
      </c>
      <c r="G28" s="6" t="b">
        <v>1</v>
      </c>
    </row>
    <row r="29" spans="1:7" x14ac:dyDescent="0.2">
      <c r="A29" s="6" t="str">
        <v>Obstsalat</v>
      </c>
      <c r="B29" s="6" t="str">
        <v>Eimer</v>
      </c>
      <c r="C29" s="6">
        <v>1</v>
      </c>
      <c r="D29" s="6">
        <v>2</v>
      </c>
      <c r="E29" s="6">
        <v>0</v>
      </c>
      <c r="F29" s="6" t="str">
        <v>KL</v>
      </c>
      <c r="G29" s="6" t="b">
        <v>1</v>
      </c>
    </row>
    <row r="30" spans="1:7" x14ac:dyDescent="0.2">
      <c r="A30" s="6" t="str">
        <v>Pesto Rosso</v>
      </c>
      <c r="B30" s="6" t="str">
        <v>Stk</v>
      </c>
      <c r="C30" s="6">
        <v>3</v>
      </c>
      <c r="D30" s="6">
        <v>6</v>
      </c>
      <c r="E30" s="6">
        <v>0</v>
      </c>
      <c r="F30" s="6" t="str">
        <v>KL</v>
      </c>
      <c r="G30" s="6" t="b">
        <v>1</v>
      </c>
    </row>
    <row r="31" spans="1:7" x14ac:dyDescent="0.2">
      <c r="A31" s="6" t="str">
        <v>Pesto Verde, Basilikum 1kg</v>
      </c>
      <c r="B31" s="6" t="str">
        <v>Stk</v>
      </c>
      <c r="C31" s="6">
        <v>3</v>
      </c>
      <c r="D31" s="6">
        <v>8</v>
      </c>
      <c r="E31" s="6">
        <v>0</v>
      </c>
      <c r="F31" s="6" t="str">
        <v>KL</v>
      </c>
      <c r="G31" s="6" t="b">
        <v>1</v>
      </c>
    </row>
    <row r="32" spans="1:7" x14ac:dyDescent="0.2">
      <c r="A32" s="6" t="str">
        <v>Philadelphia</v>
      </c>
      <c r="B32" s="6" t="str">
        <v>Stk</v>
      </c>
      <c r="C32" s="6">
        <v>4</v>
      </c>
      <c r="D32" s="6">
        <v>8</v>
      </c>
      <c r="E32" s="6">
        <v>0</v>
      </c>
      <c r="F32" s="6" t="str">
        <v>KL</v>
      </c>
      <c r="G32" s="6" t="b">
        <v>1</v>
      </c>
    </row>
    <row r="33" spans="1:7" x14ac:dyDescent="0.2">
      <c r="A33" s="6" t="str">
        <v>Portionen Majo</v>
      </c>
      <c r="B33" s="6" t="str">
        <v>Ktn</v>
      </c>
      <c r="C33" s="6">
        <v>3</v>
      </c>
      <c r="D33" s="6">
        <v>7</v>
      </c>
      <c r="E33" s="6">
        <v>0</v>
      </c>
      <c r="F33" s="6" t="str">
        <v>TL</v>
      </c>
      <c r="G33" s="6" t="b">
        <v>1</v>
      </c>
    </row>
    <row r="34" spans="1:7" x14ac:dyDescent="0.2">
      <c r="A34" s="6" t="str">
        <v>Portionen Senf</v>
      </c>
      <c r="B34" s="6" t="str">
        <v>Ktn</v>
      </c>
      <c r="C34" s="6">
        <v>2</v>
      </c>
      <c r="D34" s="6">
        <v>4</v>
      </c>
      <c r="E34" s="6">
        <v>0</v>
      </c>
      <c r="F34" s="6" t="str">
        <v>TL</v>
      </c>
      <c r="G34" s="6" t="b">
        <v>1</v>
      </c>
    </row>
    <row r="35" spans="1:7" x14ac:dyDescent="0.2">
      <c r="A35" s="6" t="str">
        <v>Portionen Tomatenketchup</v>
      </c>
      <c r="B35" s="6" t="str">
        <v>Ktn</v>
      </c>
      <c r="C35" s="6">
        <v>3</v>
      </c>
      <c r="D35" s="6">
        <v>5</v>
      </c>
      <c r="E35" s="6">
        <v>0</v>
      </c>
      <c r="F35" s="6" t="str">
        <v>TL</v>
      </c>
      <c r="G35" s="6" t="b">
        <v>1</v>
      </c>
    </row>
    <row r="36" spans="1:7" x14ac:dyDescent="0.2">
      <c r="A36" s="6" t="str">
        <v>Reis, Basmati</v>
      </c>
      <c r="B36" s="6" t="str">
        <v>Btl</v>
      </c>
      <c r="C36" s="6">
        <v>2</v>
      </c>
      <c r="D36" s="6">
        <v>5</v>
      </c>
      <c r="E36" s="6">
        <v>0</v>
      </c>
      <c r="F36" s="6" t="str">
        <v>TL</v>
      </c>
      <c r="G36" s="6" t="b">
        <v>1</v>
      </c>
    </row>
    <row r="37" spans="1:7" x14ac:dyDescent="0.2">
      <c r="A37" s="6" t="str">
        <v>Reis, Risotto</v>
      </c>
      <c r="B37" s="6" t="str">
        <v>Btl</v>
      </c>
      <c r="C37" s="6">
        <v>1</v>
      </c>
      <c r="D37" s="6">
        <v>3</v>
      </c>
      <c r="E37" s="6">
        <v>0</v>
      </c>
      <c r="F37" s="6" t="str">
        <v>TL</v>
      </c>
      <c r="G37" s="6" t="b">
        <v>1</v>
      </c>
    </row>
    <row r="38" spans="1:7" x14ac:dyDescent="0.2">
      <c r="A38" s="6" t="str">
        <v>Rübensirup, Grafschafter Goldsaft</v>
      </c>
      <c r="B38" s="6" t="str">
        <v>Stk</v>
      </c>
      <c r="C38" s="6">
        <v>3</v>
      </c>
      <c r="D38" s="6">
        <v>9</v>
      </c>
      <c r="E38" s="6">
        <v>0</v>
      </c>
      <c r="F38" s="6" t="str">
        <v>TL</v>
      </c>
      <c r="G38" s="6" t="b">
        <v>1</v>
      </c>
    </row>
    <row r="39" spans="1:7" x14ac:dyDescent="0.2">
      <c r="A39" s="6" t="str">
        <v>Salat Majo Tube</v>
      </c>
      <c r="B39" s="6" t="str">
        <v>Stk</v>
      </c>
      <c r="C39" s="6">
        <v>4</v>
      </c>
      <c r="D39" s="6">
        <v>12</v>
      </c>
      <c r="E39" s="6">
        <v>0</v>
      </c>
      <c r="F39" s="6" t="str">
        <v>KL</v>
      </c>
      <c r="G39" s="6" t="b">
        <v>1</v>
      </c>
    </row>
    <row r="40" spans="1:7" x14ac:dyDescent="0.2">
      <c r="A40" s="6" t="str">
        <v>Siegelrandbeutel 150x250</v>
      </c>
      <c r="B40" s="6" t="str">
        <v>Ktn</v>
      </c>
      <c r="C40" s="6">
        <v>1</v>
      </c>
      <c r="D40" s="6">
        <v>2</v>
      </c>
      <c r="E40" s="6">
        <v>0</v>
      </c>
      <c r="F40" s="6" t="str">
        <v>TL</v>
      </c>
      <c r="G40" s="6" t="b">
        <v>1</v>
      </c>
    </row>
    <row r="41" spans="1:7" x14ac:dyDescent="0.2">
      <c r="A41" s="6" t="str">
        <v>Siegelrandbeutel 160x240</v>
      </c>
      <c r="B41" s="6" t="str">
        <v>Ktn</v>
      </c>
      <c r="C41" s="6">
        <v>1</v>
      </c>
      <c r="D41" s="6">
        <v>2</v>
      </c>
      <c r="E41" s="6">
        <v>0</v>
      </c>
      <c r="F41" s="6" t="str">
        <v>TL</v>
      </c>
      <c r="G41" s="6" t="b">
        <v>1</v>
      </c>
    </row>
    <row r="42" spans="1:7" x14ac:dyDescent="0.2">
      <c r="A42" s="6" t="str">
        <v>Siegelrandbeutel 250x300</v>
      </c>
      <c r="B42" s="6" t="str">
        <v>Ktn</v>
      </c>
      <c r="C42" s="6">
        <v>1</v>
      </c>
      <c r="D42" s="6">
        <v>1</v>
      </c>
      <c r="E42" s="6">
        <v>0</v>
      </c>
      <c r="F42" s="6" t="str">
        <v>TL</v>
      </c>
      <c r="G42" s="6" t="b">
        <v>1</v>
      </c>
    </row>
    <row r="43" spans="1:7" x14ac:dyDescent="0.2">
      <c r="A43" s="6" t="str">
        <v>Sweet Chili</v>
      </c>
      <c r="B43" s="6" t="str">
        <v>Stk</v>
      </c>
      <c r="C43" s="6">
        <v>5</v>
      </c>
      <c r="D43" s="6">
        <v>10</v>
      </c>
      <c r="E43" s="6">
        <v>0</v>
      </c>
      <c r="F43" s="6" t="str">
        <v>TL</v>
      </c>
      <c r="G43" s="6" t="b">
        <v>1</v>
      </c>
    </row>
  </sheetData>
  <sheetProtection sheet="1"/>
  <phoneticPr fontId="0" type="noConversion"/>
  <pageMargins left="0.78740157499999996" right="0.78740157499999996" top="0.984251969" bottom="0.984251969" header="0.4921259845" footer="0.492125984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4</vt:i4>
      </vt:variant>
    </vt:vector>
  </HeadingPairs>
  <TitlesOfParts>
    <vt:vector size="8" baseType="lpstr">
      <vt:lpstr>Bestellung</vt:lpstr>
      <vt:lpstr>Liste</vt:lpstr>
      <vt:lpstr>Artikel</vt:lpstr>
      <vt:lpstr>Helper</vt:lpstr>
      <vt:lpstr>Bestellung!Druckbereich</vt:lpstr>
      <vt:lpstr>Liste!Druckbereich</vt:lpstr>
      <vt:lpstr>hlpA</vt:lpstr>
      <vt:lpstr>hlpCountA</vt:lpstr>
    </vt:vector>
  </TitlesOfParts>
  <Company>oem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Lawrence</dc:creator>
  <cp:lastModifiedBy>Gastronomie Carolus Thermen</cp:lastModifiedBy>
  <cp:lastPrinted>2026-04-01T12:52:30Z</cp:lastPrinted>
  <dcterms:created xsi:type="dcterms:W3CDTF">2001-04-13T18:44:28Z</dcterms:created>
  <dcterms:modified xsi:type="dcterms:W3CDTF">2026-04-01T13:06:12Z</dcterms:modified>
</cp:coreProperties>
</file>