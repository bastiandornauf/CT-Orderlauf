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kurundbadegesellschaft-my.sharepoint.com/personal/gastronomie_carolus-thermen_de/Documents/Desktop/Gastronomie/_Bastian/Lieferanten/"/>
    </mc:Choice>
  </mc:AlternateContent>
  <xr:revisionPtr revIDLastSave="727" documentId="8_{65F4C648-D929-44B7-B14F-C3646904F04C}" xr6:coauthVersionLast="47" xr6:coauthVersionMax="47" xr10:uidLastSave="{2289133B-5E8D-41DD-BB91-6130EAE86F99}"/>
  <bookViews>
    <workbookView xWindow="-120" yWindow="-120" windowWidth="29040" windowHeight="15720" xr2:uid="{3C4EE485-3772-4A5B-A19D-D9953841AA31}"/>
  </bookViews>
  <sheets>
    <sheet name="Bestellung" sheetId="1" r:id="rId1"/>
    <sheet name="Artikel" sheetId="2" r:id="rId2"/>
    <sheet name="Helper" sheetId="3" r:id="rId3"/>
  </sheets>
  <definedNames>
    <definedName name="_xleta.EVEN" hidden="1" xlm="1">#NAME?</definedName>
    <definedName name="_xleta.ROUNDDOWN" hidden="1" xlm="1">#NAME?</definedName>
    <definedName name="_xleta.ROUNDUP" hidden="1" xlm="1">#NAME?</definedName>
    <definedName name="_xleta.T" hidden="1" xlm="1">#NAME?</definedName>
    <definedName name="_xlnm.Print_Area" localSheetId="0">Bestellung!$B$1:$H$50</definedName>
    <definedName name="hlpA">Helper!$A$1</definedName>
    <definedName name="hlpCountA">Helper!$H$1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3" l="1"/>
  <c r="A1" i="3" a="1"/>
  <c r="H1" i="3" l="1"/>
  <c r="C9" i="1"/>
  <c r="K3" i="3"/>
  <c r="H9" i="1" s="1"/>
  <c r="A1" i="3"/>
  <c r="C12" i="1" l="1" a="1"/>
  <c r="B12" i="1" a="1"/>
  <c r="F12" i="1" a="1"/>
  <c r="D12" i="1" a="1"/>
  <c r="G12" i="1" a="1"/>
  <c r="H12" i="1" a="1"/>
  <c r="B12" i="1" l="1"/>
  <c r="C12" i="1"/>
  <c r="D12" i="1"/>
  <c r="F12" i="1"/>
  <c r="G12" i="1"/>
  <c r="H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<sst xmlns="http://schemas.openxmlformats.org/spreadsheetml/2006/main" count="302" uniqueCount="149">
  <si>
    <t>Bestelliste</t>
  </si>
  <si>
    <t>Lieferant :</t>
  </si>
  <si>
    <t>Besteller :</t>
  </si>
  <si>
    <t>Passstraße 79</t>
  </si>
  <si>
    <t>52070 Aachen</t>
  </si>
  <si>
    <t>Artikel</t>
  </si>
  <si>
    <t>Einheit</t>
  </si>
  <si>
    <t>Menge</t>
  </si>
  <si>
    <t>Spitzkohl</t>
  </si>
  <si>
    <t>Zucchini</t>
  </si>
  <si>
    <t>Eisbergsalat</t>
  </si>
  <si>
    <t>Frühlingszwiebeln</t>
  </si>
  <si>
    <t>Basilikum</t>
  </si>
  <si>
    <t>Rosmarin</t>
  </si>
  <si>
    <t>Champignons</t>
  </si>
  <si>
    <t>kg</t>
  </si>
  <si>
    <t>Bund</t>
  </si>
  <si>
    <t>Kiste</t>
  </si>
  <si>
    <t>Ananas</t>
  </si>
  <si>
    <t>Feigen</t>
  </si>
  <si>
    <t>Ingwer frisch</t>
  </si>
  <si>
    <t>Stück</t>
  </si>
  <si>
    <t>Aubergine</t>
  </si>
  <si>
    <t>Austernpilze</t>
  </si>
  <si>
    <t>Gurken</t>
  </si>
  <si>
    <t>kl. Kiste</t>
  </si>
  <si>
    <t xml:space="preserve"> </t>
  </si>
  <si>
    <t>Fenchel</t>
  </si>
  <si>
    <t>Zwiebeln, weiß</t>
  </si>
  <si>
    <t>Limonen</t>
  </si>
  <si>
    <t>Carolus Thermen Gastronomie</t>
  </si>
  <si>
    <t>Fax : 0241 / 18274275</t>
  </si>
  <si>
    <t>Minze</t>
  </si>
  <si>
    <t>5 kg Sack</t>
  </si>
  <si>
    <t>gr. Bund</t>
  </si>
  <si>
    <t>Schnittlauch</t>
  </si>
  <si>
    <t>Mobil : 0160 / 8862927</t>
  </si>
  <si>
    <t>Tel : 0241 / 18274630</t>
  </si>
  <si>
    <t>Gartenkresse</t>
  </si>
  <si>
    <t>Avocado</t>
  </si>
  <si>
    <t>Koriander</t>
  </si>
  <si>
    <t>Tel : 0241 / 159435</t>
  </si>
  <si>
    <t>Fax : 0241 / 154425</t>
  </si>
  <si>
    <t>Handy: 0157 / 77951521</t>
  </si>
  <si>
    <t>10 Kg</t>
  </si>
  <si>
    <t>grüner Spargel</t>
  </si>
  <si>
    <t>Dill</t>
  </si>
  <si>
    <t>Schachtel</t>
  </si>
  <si>
    <t>Himbeeren</t>
  </si>
  <si>
    <t>Blaubeeren</t>
  </si>
  <si>
    <t>Physalis</t>
  </si>
  <si>
    <t>10kg</t>
  </si>
  <si>
    <t>Ruccola (Fino Fresco)</t>
  </si>
  <si>
    <t>OGA</t>
  </si>
  <si>
    <t>Paprika Mix</t>
  </si>
  <si>
    <t>Zitronen(5kg)</t>
  </si>
  <si>
    <t>Spinat (schöner,300g)</t>
  </si>
  <si>
    <t>Beutel</t>
  </si>
  <si>
    <t>Kopf</t>
  </si>
  <si>
    <t>Kräutersalat</t>
  </si>
  <si>
    <t>Wirsing</t>
  </si>
  <si>
    <t>Bimi Brokoli</t>
  </si>
  <si>
    <t>Paket</t>
  </si>
  <si>
    <t>Erbsensprossen</t>
  </si>
  <si>
    <t>Zuckerschoten</t>
  </si>
  <si>
    <t>Chilischote</t>
  </si>
  <si>
    <t>Gramm</t>
  </si>
  <si>
    <t>Chinakohl</t>
  </si>
  <si>
    <t>Paprika Rot</t>
  </si>
  <si>
    <t>kiste</t>
  </si>
  <si>
    <t>Paprika Gelb</t>
  </si>
  <si>
    <t xml:space="preserve">Bund </t>
  </si>
  <si>
    <t>Süsskartoffeln</t>
  </si>
  <si>
    <t>Lauch</t>
  </si>
  <si>
    <t>Stange</t>
  </si>
  <si>
    <t>Blumenkohl</t>
  </si>
  <si>
    <t>Radicchio</t>
  </si>
  <si>
    <t>Kräuterseitlinge</t>
  </si>
  <si>
    <t>Pressorangen</t>
  </si>
  <si>
    <t xml:space="preserve">Feldsalat </t>
  </si>
  <si>
    <t>Stücke</t>
  </si>
  <si>
    <t>Kilo</t>
  </si>
  <si>
    <t>Große Kiste</t>
  </si>
  <si>
    <t>Kg</t>
  </si>
  <si>
    <t>Hokkaido Kürbis</t>
  </si>
  <si>
    <t>Brokkoli</t>
  </si>
  <si>
    <t>Honig Melone</t>
  </si>
  <si>
    <t>Birnen</t>
  </si>
  <si>
    <t>Romana Salat</t>
  </si>
  <si>
    <t>Salbei</t>
  </si>
  <si>
    <t>Pflaumen/Zwetschgen</t>
  </si>
  <si>
    <t>Sojasprossen</t>
  </si>
  <si>
    <t>Rotkohl vorgeschnitten</t>
  </si>
  <si>
    <t xml:space="preserve">Trauben (hell) </t>
  </si>
  <si>
    <t>Rosenkohl</t>
  </si>
  <si>
    <t>Chicoree</t>
  </si>
  <si>
    <t>kl.Kiste</t>
  </si>
  <si>
    <t>Zitronenmelisse</t>
  </si>
  <si>
    <t>Paket (kl.)</t>
  </si>
  <si>
    <t xml:space="preserve">Paket </t>
  </si>
  <si>
    <t xml:space="preserve">Paket (kl.) </t>
  </si>
  <si>
    <t>Liefertag</t>
  </si>
  <si>
    <t>Gebinde</t>
  </si>
  <si>
    <t>Aktiv</t>
  </si>
  <si>
    <t>Brokolli</t>
  </si>
  <si>
    <t>Pfifferlinge</t>
  </si>
  <si>
    <t>Kasten</t>
  </si>
  <si>
    <t>Bärlauch</t>
  </si>
  <si>
    <t>Thymian</t>
  </si>
  <si>
    <t>Erdbeeren(Frisch)</t>
  </si>
  <si>
    <t>Tomatenwürfel</t>
  </si>
  <si>
    <t>Cavaillon Melone</t>
  </si>
  <si>
    <t>Bratpaprika</t>
  </si>
  <si>
    <t>Steckrüben</t>
  </si>
  <si>
    <t>Apfel (Wellant)</t>
  </si>
  <si>
    <t>Feigen (frisch)</t>
  </si>
  <si>
    <t>Zwiebeln, rot</t>
  </si>
  <si>
    <t>Tomaten, Strauch-/Rispen-</t>
  </si>
  <si>
    <t>Tomaten, Cocktail-</t>
  </si>
  <si>
    <t>Spargel, grün</t>
  </si>
  <si>
    <t>Karotten / Möhren</t>
  </si>
  <si>
    <t>Kartoffeln, neue</t>
  </si>
  <si>
    <t>Pak choi, Baby</t>
  </si>
  <si>
    <t>Kartoffeln, grosse</t>
  </si>
  <si>
    <t>Frisee-Salat</t>
  </si>
  <si>
    <t>1 Kopf</t>
  </si>
  <si>
    <t>Orangen (schöne)</t>
  </si>
  <si>
    <t>Bananen (schöne)</t>
  </si>
  <si>
    <t>Min</t>
  </si>
  <si>
    <t>Max</t>
  </si>
  <si>
    <t>Lager</t>
  </si>
  <si>
    <t>KH</t>
  </si>
  <si>
    <t>Sellerie, Knollen-</t>
  </si>
  <si>
    <t>Sellerie, Stauden-</t>
  </si>
  <si>
    <t>Kerbel</t>
  </si>
  <si>
    <t>1 Bund</t>
  </si>
  <si>
    <t>Petersilie, glatt</t>
  </si>
  <si>
    <t>Petersilie, krause</t>
  </si>
  <si>
    <t>Datum heute</t>
  </si>
  <si>
    <t>Datum Liefer</t>
  </si>
  <si>
    <t>Bestellung vom</t>
  </si>
  <si>
    <t>KG</t>
  </si>
  <si>
    <t>Estragon</t>
  </si>
  <si>
    <t>Schalotten</t>
  </si>
  <si>
    <t>5kg Sack</t>
  </si>
  <si>
    <t>Kohlrabi</t>
  </si>
  <si>
    <t>Radieschen</t>
  </si>
  <si>
    <t>Kresse Mix mit Shiso</t>
  </si>
  <si>
    <t>1 Kiste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</si>
</sst>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0" x14ac:knownFonts="1">
    <font>
      <sz val="10"/>
      <name val="Arial"/>
    </font>
    <font>
      <b/>
      <sz val="10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u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i/>
      <u/>
      <sz val="16"/>
      <name val="Arial"/>
      <family val="2"/>
    </font>
    <font>
      <b/>
      <i/>
      <sz val="11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sz val="20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1" xfId="0" applyBorder="1"/>
    <xf numFmtId="0" fontId="7" fillId="0" borderId="0" xfId="0" applyFont="1"/>
    <xf numFmtId="0" fontId="8" fillId="0" borderId="0" xfId="0" applyFont="1"/>
    <xf numFmtId="0" fontId="2" fillId="0" borderId="0" xfId="0" applyFont="1"/>
    <xf numFmtId="0" fontId="7" fillId="0" borderId="2" xfId="0" applyFont="1" applyBorder="1"/>
    <xf numFmtId="0" fontId="0" fillId="0" borderId="3" xfId="0" applyBorder="1"/>
    <xf numFmtId="0" fontId="0" fillId="0" borderId="4" xfId="0" applyBorder="1"/>
    <xf numFmtId="0" fontId="6" fillId="0" borderId="1" xfId="0" applyFont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0" fontId="11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center" vertical="center"/>
    </xf>
    <xf numFmtId="0" fontId="12" fillId="0" borderId="1" xfId="0" applyFont="1" applyBorder="1"/>
    <xf numFmtId="0" fontId="13" fillId="0" borderId="0" xfId="0" applyFont="1"/>
    <xf numFmtId="0" fontId="0" fillId="0" borderId="0" xfId="0" applyAlignment="1">
      <alignment horizontal="left"/>
    </xf>
    <xf numFmtId="0" fontId="10" fillId="0" borderId="0" xfId="0" applyFont="1"/>
    <xf numFmtId="16" fontId="1" fillId="0" borderId="0" xfId="0" applyNumberFormat="1" applyFont="1"/>
    <xf numFmtId="0" fontId="1" fillId="0" borderId="2" xfId="0" applyFont="1" applyBorder="1"/>
    <xf numFmtId="0" fontId="0" fillId="0" borderId="12" xfId="0" applyBorder="1"/>
    <xf numFmtId="0" fontId="2" fillId="0" borderId="1" xfId="0" applyFont="1" applyBorder="1" applyAlignment="1">
      <alignment horizontal="left"/>
    </xf>
    <xf numFmtId="0" fontId="5" fillId="0" borderId="0" xfId="0" applyFont="1"/>
    <xf numFmtId="0" fontId="5" fillId="0" borderId="4" xfId="0" applyFont="1" applyBorder="1"/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13" fillId="0" borderId="1" xfId="0" applyFont="1" applyBorder="1" applyAlignment="1">
      <alignment horizontal="left"/>
    </xf>
    <xf numFmtId="0" fontId="9" fillId="0" borderId="13" xfId="0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5" fillId="0" borderId="2" xfId="0" applyFont="1" applyBorder="1"/>
    <xf numFmtId="0" fontId="0" fillId="0" borderId="14" xfId="0" applyBorder="1"/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164" fontId="0" fillId="0" borderId="0" xfId="0" applyNumberFormat="1"/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8" fillId="0" borderId="19" xfId="0" applyFont="1" applyBorder="1"/>
    <xf numFmtId="0" fontId="4" fillId="0" borderId="19" xfId="0" applyFont="1" applyBorder="1"/>
    <xf numFmtId="0" fontId="7" fillId="0" borderId="19" xfId="0" applyFont="1" applyBorder="1"/>
    <xf numFmtId="0" fontId="15" fillId="0" borderId="19" xfId="0" applyFont="1" applyBorder="1"/>
    <xf numFmtId="0" fontId="13" fillId="0" borderId="21" xfId="0" applyFont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13" fillId="0" borderId="23" xfId="0" applyFont="1" applyBorder="1" applyAlignment="1">
      <alignment horizontal="left" vertical="center"/>
    </xf>
    <xf numFmtId="0" fontId="13" fillId="0" borderId="24" xfId="0" applyFont="1" applyBorder="1" applyAlignment="1">
      <alignment horizontal="left" vertical="center"/>
    </xf>
    <xf numFmtId="0" fontId="0" fillId="3" borderId="0" xfId="0" applyFill="1"/>
    <xf numFmtId="0" fontId="0" fillId="3" borderId="25" xfId="0" applyFill="1" applyBorder="1"/>
    <xf numFmtId="164" fontId="3" fillId="0" borderId="20" xfId="0" applyNumberFormat="1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5" fillId="4" borderId="0" xfId="0" applyFont="1" applyFill="1"/>
    <xf numFmtId="14" fontId="0" fillId="4" borderId="0" xfId="0" applyNumberFormat="1" applyFill="1"/>
    <xf numFmtId="164" fontId="11" fillId="0" borderId="19" xfId="0" applyNumberFormat="1" applyFont="1" applyBorder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0" xfId="0" applyFont="1" applyAlignment="1">
      <alignment horizontal="center" vertical="center"/>
    </xf>
    <xf numFmtId="0" fontId="17" fillId="0" borderId="29" xfId="0" applyFont="1" applyBorder="1"/>
    <xf numFmtId="0" fontId="14" fillId="0" borderId="26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8" xfId="0" applyFont="1" applyBorder="1" applyAlignment="1">
      <alignment horizontal="center"/>
    </xf>
  </cellXfs>
  <cellStyles count="1">
    <cellStyle name="Standard" xfId="0" builtinId="0"/>
  </cellStyles>
  <dxfs count="3"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u val="none"/>
        <vertAlign val="baseline"/>
        <sz val="2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276225</xdr:rowOff>
        </xdr:from>
        <xdr:to>
          <xdr:col>9</xdr:col>
          <xdr:colOff>638175</xdr:colOff>
          <xdr:row>2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Mengen auf 0 setzen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AB55E4-7BEE-4B4D-A0F8-592B9A62D50A}" name="tblArtikel" displayName="tblArtikel" ref="A1:G91" totalsRowShown="0">
  <autoFilter ref="A1:G91" xr:uid="{71B4A66E-44AD-49A0-BCC2-ED140358221B}">
    <filterColumn colId="6">
      <filters>
        <filter val="WAHR"/>
      </filters>
    </filterColumn>
  </autoFilter>
  <sortState xmlns:xlrd2="http://schemas.microsoft.com/office/spreadsheetml/2017/richdata2" ref="A2:G91">
    <sortCondition ref="A1:A91"/>
  </sortState>
  <tableColumns count="7">
    <tableColumn id="1" xr3:uid="{00000000-0010-0000-0100-000001000000}" name="Artikel"/>
    <tableColumn id="2" xr3:uid="{00000000-0010-0000-0100-000002000000}" name="Gebinde"/>
    <tableColumn id="6" xr3:uid="{00000000-0010-0000-0100-000006000000}" name="Min"/>
    <tableColumn id="5" xr3:uid="{00000000-0010-0000-0100-000005000000}" name="Max"/>
    <tableColumn id="3" xr3:uid="{00000000-0010-0000-0100-000003000000}" name="Menge" dataDxfId="1"/>
    <tableColumn id="7" xr3:uid="{00000000-0010-0000-0100-000007000000}" name="Lager"/>
    <tableColumn id="4" xr3:uid="{00000000-0010-0000-0100-000004000000}" name="Akt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43504-301C-4F61-B80A-8739757DE76B}">
  <sheetPr codeName="Tabelle1">
    <tabColor rgb="FFFF0000"/>
    <pageSetUpPr fitToPage="1"/>
  </sheetPr>
  <dimension ref="A1:L50"/>
  <sheetViews>
    <sheetView tabSelected="1" topLeftCell="B1" zoomScale="85" zoomScaleNormal="85" workbookViewId="0">
      <selection activeCell="D12" sqref="D12"/>
    </sheetView>
  </sheetViews>
  <sheetFormatPr baseColWidth="10" defaultRowHeight="12.75" x14ac:dyDescent="0.2"/>
  <cols>
    <col min="1" max="1" width="1.85546875" hidden="1" customWidth="1"/>
    <col min="2" max="2" width="35.7109375" customWidth="1"/>
    <col min="3" max="3" width="17.7109375" customWidth="1"/>
    <col min="4" max="4" width="15.7109375" customWidth="1"/>
    <col min="5" max="5" width="5.85546875" hidden="1" customWidth="1"/>
    <col min="6" max="6" width="35.7109375" customWidth="1"/>
    <col min="7" max="7" width="17.7109375" customWidth="1"/>
    <col min="8" max="8" width="15.7109375" customWidth="1"/>
  </cols>
  <sheetData>
    <row r="1" spans="1:12" ht="27" thickBot="1" x14ac:dyDescent="0.45">
      <c r="B1" s="60" t="s">
        <v>0</v>
      </c>
      <c r="C1" s="61"/>
      <c r="D1" s="61"/>
      <c r="E1" s="61"/>
      <c r="F1" s="61"/>
      <c r="G1" s="61"/>
      <c r="H1" s="62"/>
    </row>
    <row r="2" spans="1:12" ht="18" x14ac:dyDescent="0.25">
      <c r="B2" s="30" t="s">
        <v>1</v>
      </c>
      <c r="C2" s="2"/>
      <c r="D2" s="31" t="s">
        <v>2</v>
      </c>
      <c r="E2" s="2"/>
      <c r="F2" s="2"/>
      <c r="G2" s="28"/>
      <c r="H2" s="29"/>
    </row>
    <row r="3" spans="1:12" ht="18.75" x14ac:dyDescent="0.3">
      <c r="B3" s="27" t="s">
        <v>53</v>
      </c>
      <c r="C3" s="22"/>
      <c r="D3" s="6" t="s">
        <v>30</v>
      </c>
      <c r="E3" s="6"/>
      <c r="F3" s="23"/>
      <c r="G3" s="1"/>
      <c r="H3" s="9"/>
    </row>
    <row r="4" spans="1:12" ht="15.75" x14ac:dyDescent="0.25">
      <c r="A4" s="3"/>
      <c r="B4" s="32" t="s">
        <v>42</v>
      </c>
      <c r="C4" s="2"/>
      <c r="D4" s="21" t="s">
        <v>3</v>
      </c>
      <c r="E4" s="5"/>
      <c r="F4" s="4"/>
      <c r="G4" s="1"/>
      <c r="H4" s="9"/>
    </row>
    <row r="5" spans="1:12" ht="15.75" x14ac:dyDescent="0.25">
      <c r="A5" s="3"/>
      <c r="B5" s="32" t="s">
        <v>41</v>
      </c>
      <c r="C5" s="2"/>
      <c r="D5" s="21" t="s">
        <v>4</v>
      </c>
      <c r="E5" s="4"/>
      <c r="F5" s="4"/>
      <c r="G5" s="1"/>
      <c r="H5" s="9"/>
    </row>
    <row r="6" spans="1:12" ht="15.75" x14ac:dyDescent="0.25">
      <c r="A6" s="3"/>
      <c r="B6" s="32" t="s">
        <v>43</v>
      </c>
      <c r="C6" s="2"/>
      <c r="D6" s="21" t="s">
        <v>37</v>
      </c>
      <c r="E6" s="5"/>
      <c r="F6" s="4"/>
      <c r="G6" s="1"/>
      <c r="H6" s="9"/>
    </row>
    <row r="7" spans="1:12" ht="18.75" x14ac:dyDescent="0.3">
      <c r="B7" s="10"/>
      <c r="C7" s="1"/>
      <c r="D7" s="21" t="s">
        <v>36</v>
      </c>
      <c r="E7" s="5"/>
      <c r="F7" s="4"/>
      <c r="G7" s="24"/>
      <c r="H7" s="9"/>
    </row>
    <row r="8" spans="1:12" ht="21" thickBot="1" x14ac:dyDescent="0.35">
      <c r="B8" s="20"/>
      <c r="C8" s="6"/>
      <c r="D8" s="21" t="s">
        <v>31</v>
      </c>
      <c r="E8" s="5"/>
      <c r="F8" s="4"/>
      <c r="G8" s="1"/>
      <c r="H8" s="9"/>
    </row>
    <row r="9" spans="1:12" ht="23.25" x14ac:dyDescent="0.35">
      <c r="A9" s="3"/>
      <c r="B9" s="59" t="s">
        <v>140</v>
      </c>
      <c r="C9" s="56">
        <f ca="1">Helper!K2</f>
        <v>46113</v>
      </c>
      <c r="D9" s="43"/>
      <c r="E9" s="42"/>
      <c r="F9" s="44"/>
      <c r="G9" s="45" t="s">
        <v>101</v>
      </c>
      <c r="H9" s="52">
        <f ca="1">Helper!K3</f>
        <v>46114</v>
      </c>
      <c r="L9" s="39"/>
    </row>
    <row r="10" spans="1:12" ht="15.75" thickBot="1" x14ac:dyDescent="0.3">
      <c r="A10" s="3"/>
      <c r="B10" s="36"/>
      <c r="C10" s="7"/>
      <c r="D10" s="7"/>
      <c r="E10" s="25"/>
      <c r="F10" s="35" t="s">
        <v>26</v>
      </c>
      <c r="G10" s="25"/>
      <c r="H10" s="26"/>
    </row>
    <row r="11" spans="1:12" ht="18" customHeight="1" thickBot="1" x14ac:dyDescent="0.35">
      <c r="B11" s="33" t="s">
        <v>5</v>
      </c>
      <c r="C11" s="33" t="s">
        <v>6</v>
      </c>
      <c r="D11" s="33" t="s">
        <v>7</v>
      </c>
      <c r="E11" s="34"/>
      <c r="F11" s="33" t="s">
        <v>5</v>
      </c>
      <c r="G11" s="33" t="s">
        <v>6</v>
      </c>
      <c r="H11" s="33" t="s">
        <v>7</v>
      </c>
    </row>
    <row r="12" spans="1:12" ht="18.95" customHeight="1" x14ac:dyDescent="0.2">
      <c r="B12" s="12" t="str" cm="1">
        <f t="array" ref="B12:B49">INDEX(_xlfn.ANCHORARRAY(hlpA), _xlfn.SEQUENCE(ROUNDUP(hlpCountA/2,0)),1)</f>
        <v>Ananas</v>
      </c>
      <c r="C12" s="46" t="str" cm="1">
        <f t="array" ref="C12:C49">INDEX(_xlfn.ANCHORARRAY(hlpA), _xlfn.SEQUENCE(ROUNDUP(hlpCountA/2,0)),2)</f>
        <v>Stück</v>
      </c>
      <c r="D12" s="13" cm="1">
        <f t="array" ref="D12:D49">INDEX(_xlfn.ANCHORARRAY(hlpA), _xlfn.SEQUENCE(ROUNDUP(hlpCountA/2,0)),5)</f>
        <v>0</v>
      </c>
      <c r="E12" s="40"/>
      <c r="F12" s="12" t="str" cm="1">
        <f t="array" ref="F12:F48">INDEX(_xlfn.ANCHORARRAY(hlpA), _xlfn.SEQUENCE(ROUNDDOWN(hlpCountA/2,0))+ROUNDUP(hlpCountA/2,0),1)</f>
        <v>Kresse Mix mit Shiso</v>
      </c>
      <c r="G12" s="46" t="str" cm="1">
        <f t="array" ref="G12:G48">INDEX(_xlfn.ANCHORARRAY(hlpA), _xlfn.SEQUENCE(ROUNDDOWN(hlpCountA/2,0))+ROUNDUP(hlpCountA/2,0),2)</f>
        <v>1 Kiste</v>
      </c>
      <c r="H12" s="13" cm="1">
        <f t="array" ref="H12:H48">INDEX(_xlfn.ANCHORARRAY(hlpA), _xlfn.SEQUENCE(ROUNDDOWN(hlpCountA/2,0))+ROUNDUP(hlpCountA/2,0),5)</f>
        <v>0</v>
      </c>
    </row>
    <row r="13" spans="1:12" ht="18.95" customHeight="1" x14ac:dyDescent="0.2">
      <c r="B13" s="14" t="str">
        <v>Apfel (Wellant)</v>
      </c>
      <c r="C13" s="47" t="str">
        <v>Kiste</v>
      </c>
      <c r="D13" s="15">
        <v>1</v>
      </c>
      <c r="E13" s="16"/>
      <c r="F13" s="14" t="str">
        <v>Lauch</v>
      </c>
      <c r="G13" s="47" t="str">
        <v>Stange</v>
      </c>
      <c r="H13" s="15">
        <v>8</v>
      </c>
    </row>
    <row r="14" spans="1:12" ht="18.95" customHeight="1" x14ac:dyDescent="0.2">
      <c r="B14" s="14" t="str">
        <v>Aubergine</v>
      </c>
      <c r="C14" s="47" t="str">
        <v>Kiste</v>
      </c>
      <c r="D14" s="15">
        <v>0</v>
      </c>
      <c r="E14" s="16"/>
      <c r="F14" s="14" t="str">
        <v>Limonen</v>
      </c>
      <c r="G14" s="47" t="str">
        <v>Kiste</v>
      </c>
      <c r="H14" s="15">
        <v>0</v>
      </c>
    </row>
    <row r="15" spans="1:12" ht="18.95" customHeight="1" x14ac:dyDescent="0.2">
      <c r="B15" s="14" t="str">
        <v>Austernpilze</v>
      </c>
      <c r="C15" s="47" t="str">
        <v>Schachtel</v>
      </c>
      <c r="D15" s="15">
        <v>0</v>
      </c>
      <c r="E15" s="16"/>
      <c r="F15" s="14" t="str">
        <v>Minze</v>
      </c>
      <c r="G15" s="47" t="str">
        <v>Bund</v>
      </c>
      <c r="H15" s="15">
        <v>0</v>
      </c>
    </row>
    <row r="16" spans="1:12" ht="18.95" customHeight="1" x14ac:dyDescent="0.2">
      <c r="B16" s="14" t="str">
        <v>Avocado</v>
      </c>
      <c r="C16" s="47" t="str">
        <v>Stück</v>
      </c>
      <c r="D16" s="15">
        <v>0</v>
      </c>
      <c r="E16" s="16"/>
      <c r="F16" s="14" t="str">
        <v>Orangen (schöne)</v>
      </c>
      <c r="G16" s="47" t="str">
        <v>Große Kiste</v>
      </c>
      <c r="H16" s="15">
        <v>0</v>
      </c>
      <c r="L16" s="39"/>
    </row>
    <row r="17" spans="1:10" ht="18.95" customHeight="1" x14ac:dyDescent="0.2">
      <c r="B17" s="14" t="str">
        <v>Bananen (schöne)</v>
      </c>
      <c r="C17" s="47" t="str">
        <v>Bund</v>
      </c>
      <c r="D17" s="15">
        <v>0</v>
      </c>
      <c r="E17" s="16"/>
      <c r="F17" s="14" t="str">
        <v>Pak choi, Baby</v>
      </c>
      <c r="G17" s="47" t="str">
        <v>Stücke</v>
      </c>
      <c r="H17" s="15">
        <v>0</v>
      </c>
      <c r="J17" s="28"/>
    </row>
    <row r="18" spans="1:10" ht="18.95" customHeight="1" x14ac:dyDescent="0.2">
      <c r="B18" s="14" t="str">
        <v>Basilikum</v>
      </c>
      <c r="C18" s="47" t="str">
        <v>Bund</v>
      </c>
      <c r="D18" s="15">
        <v>0</v>
      </c>
      <c r="E18" s="16"/>
      <c r="F18" s="14" t="str">
        <v>Paprika Mix</v>
      </c>
      <c r="G18" s="47" t="str">
        <v>Kiste</v>
      </c>
      <c r="H18" s="15">
        <v>0</v>
      </c>
    </row>
    <row r="19" spans="1:10" ht="18.95" customHeight="1" x14ac:dyDescent="0.2">
      <c r="B19" s="14" t="str">
        <v>Bimi Brokoli</v>
      </c>
      <c r="C19" s="47" t="str">
        <v>Paket</v>
      </c>
      <c r="D19" s="15">
        <v>0</v>
      </c>
      <c r="E19" s="16"/>
      <c r="F19" s="14" t="str">
        <v>Petersilie, glatt</v>
      </c>
      <c r="G19" s="47" t="str">
        <v xml:space="preserve">Bund </v>
      </c>
      <c r="H19" s="15">
        <v>0</v>
      </c>
    </row>
    <row r="20" spans="1:10" ht="18.95" customHeight="1" x14ac:dyDescent="0.2">
      <c r="B20" s="14" t="str">
        <v>Birnen</v>
      </c>
      <c r="C20" s="47" t="str">
        <v>Stück</v>
      </c>
      <c r="D20" s="15">
        <v>0</v>
      </c>
      <c r="E20" s="16"/>
      <c r="F20" s="14" t="str">
        <v>Petersilie, krause</v>
      </c>
      <c r="G20" s="47" t="str">
        <v>Bund</v>
      </c>
      <c r="H20" s="15">
        <v>0</v>
      </c>
    </row>
    <row r="21" spans="1:10" ht="18.95" customHeight="1" x14ac:dyDescent="0.2">
      <c r="B21" s="14" t="str">
        <v>Blaubeeren</v>
      </c>
      <c r="C21" s="47" t="str">
        <v>Schachtel</v>
      </c>
      <c r="D21" s="15">
        <v>0</v>
      </c>
      <c r="E21" s="16"/>
      <c r="F21" s="14" t="str">
        <v>Physalis</v>
      </c>
      <c r="G21" s="47" t="str">
        <v>Schachtel</v>
      </c>
      <c r="H21" s="15">
        <v>0</v>
      </c>
    </row>
    <row r="22" spans="1:10" ht="18.95" customHeight="1" x14ac:dyDescent="0.2">
      <c r="B22" s="14" t="str">
        <v>Blumenkohl</v>
      </c>
      <c r="C22" s="47" t="str">
        <v>Stück</v>
      </c>
      <c r="D22" s="15">
        <v>0</v>
      </c>
      <c r="E22" s="16"/>
      <c r="F22" s="14" t="str">
        <v>Radicchio</v>
      </c>
      <c r="G22" s="47" t="str">
        <v>Stück</v>
      </c>
      <c r="H22" s="15">
        <v>0</v>
      </c>
    </row>
    <row r="23" spans="1:10" ht="18.95" customHeight="1" x14ac:dyDescent="0.2">
      <c r="B23" s="14" t="str">
        <v>Brokkoli</v>
      </c>
      <c r="C23" s="47" t="str">
        <v>Stück</v>
      </c>
      <c r="D23" s="15">
        <v>4</v>
      </c>
      <c r="E23" s="16"/>
      <c r="F23" s="14" t="str">
        <v>Radieschen</v>
      </c>
      <c r="G23" s="47" t="str">
        <v>Bund</v>
      </c>
      <c r="H23" s="15">
        <v>0</v>
      </c>
    </row>
    <row r="24" spans="1:10" ht="18.95" customHeight="1" x14ac:dyDescent="0.2">
      <c r="B24" s="14" t="str">
        <v>Champignons</v>
      </c>
      <c r="C24" s="47" t="str">
        <v>Kiste</v>
      </c>
      <c r="D24" s="15">
        <v>0</v>
      </c>
      <c r="E24" s="16"/>
      <c r="F24" s="14" t="str">
        <v>Rosmarin</v>
      </c>
      <c r="G24" s="47" t="str">
        <v>Bund</v>
      </c>
      <c r="H24" s="15">
        <v>1</v>
      </c>
    </row>
    <row r="25" spans="1:10" ht="18.95" customHeight="1" x14ac:dyDescent="0.2">
      <c r="B25" s="14" t="str">
        <v>Chicoree</v>
      </c>
      <c r="C25" s="47" t="str">
        <v>kl.Kiste</v>
      </c>
      <c r="D25" s="15">
        <v>0</v>
      </c>
      <c r="E25" s="16"/>
      <c r="F25" s="14" t="str">
        <v>Rotkohl vorgeschnitten</v>
      </c>
      <c r="G25" s="47" t="str">
        <v>Beutel</v>
      </c>
      <c r="H25" s="15">
        <v>0</v>
      </c>
    </row>
    <row r="26" spans="1:10" ht="18.95" customHeight="1" x14ac:dyDescent="0.2">
      <c r="B26" s="14" t="str">
        <v>Chilischote</v>
      </c>
      <c r="C26" s="47" t="str">
        <v>Gramm</v>
      </c>
      <c r="D26" s="15">
        <v>0</v>
      </c>
      <c r="E26" s="16"/>
      <c r="F26" s="14" t="str">
        <v>Ruccola (Fino Fresco)</v>
      </c>
      <c r="G26" s="47" t="str">
        <v>Paket (kl.)</v>
      </c>
      <c r="H26" s="15">
        <v>8</v>
      </c>
    </row>
    <row r="27" spans="1:10" ht="18.95" customHeight="1" x14ac:dyDescent="0.2">
      <c r="B27" s="14" t="str">
        <v>Chinakohl</v>
      </c>
      <c r="C27" s="47" t="str">
        <v>Kopf</v>
      </c>
      <c r="D27" s="15">
        <v>0</v>
      </c>
      <c r="E27" s="16"/>
      <c r="F27" s="14" t="str">
        <v>Salbei</v>
      </c>
      <c r="G27" s="47" t="str">
        <v>Bund</v>
      </c>
      <c r="H27" s="15">
        <v>0</v>
      </c>
    </row>
    <row r="28" spans="1:10" ht="18.95" customHeight="1" x14ac:dyDescent="0.25">
      <c r="A28" s="11" t="s">
        <v>19</v>
      </c>
      <c r="B28" s="14" t="str">
        <v>Dill</v>
      </c>
      <c r="C28" s="47" t="str">
        <v>Bund</v>
      </c>
      <c r="D28" s="15">
        <v>1</v>
      </c>
      <c r="E28" s="16"/>
      <c r="F28" s="14" t="str">
        <v>Schalotten</v>
      </c>
      <c r="G28" s="47" t="str">
        <v>5kg Sack</v>
      </c>
      <c r="H28" s="15">
        <v>1</v>
      </c>
    </row>
    <row r="29" spans="1:10" ht="18.95" customHeight="1" x14ac:dyDescent="0.2">
      <c r="B29" s="14" t="str">
        <v>Eisbergsalat</v>
      </c>
      <c r="C29" s="47" t="str">
        <v>Kiste</v>
      </c>
      <c r="D29" s="15">
        <v>0</v>
      </c>
      <c r="E29" s="16"/>
      <c r="F29" s="14" t="str">
        <v>Schnittlauch</v>
      </c>
      <c r="G29" s="47" t="str">
        <v>gr. Bund</v>
      </c>
      <c r="H29" s="15">
        <v>1</v>
      </c>
    </row>
    <row r="30" spans="1:10" ht="18.95" customHeight="1" x14ac:dyDescent="0.2">
      <c r="B30" s="14" t="str">
        <v>Erbsensprossen</v>
      </c>
      <c r="C30" s="47" t="str">
        <v xml:space="preserve">Paket </v>
      </c>
      <c r="D30" s="15">
        <v>2</v>
      </c>
      <c r="E30" s="16"/>
      <c r="F30" s="14" t="str">
        <v>Sellerie, Knollen-</v>
      </c>
      <c r="G30" s="47" t="str">
        <v>Stück</v>
      </c>
      <c r="H30" s="15">
        <v>2</v>
      </c>
    </row>
    <row r="31" spans="1:10" ht="18.95" customHeight="1" x14ac:dyDescent="0.2">
      <c r="B31" s="14" t="str">
        <v>Estragon</v>
      </c>
      <c r="C31" s="47" t="str">
        <v>Bund</v>
      </c>
      <c r="D31" s="15">
        <v>0</v>
      </c>
      <c r="E31" s="16"/>
      <c r="F31" s="14" t="str">
        <v>Sellerie, Stauden-</v>
      </c>
      <c r="G31" s="47" t="str">
        <v>Stück</v>
      </c>
      <c r="H31" s="15">
        <v>2</v>
      </c>
    </row>
    <row r="32" spans="1:10" ht="18.95" customHeight="1" x14ac:dyDescent="0.2">
      <c r="B32" s="14" t="str">
        <v>Feigen (frisch)</v>
      </c>
      <c r="C32" s="47" t="str">
        <v>Stück</v>
      </c>
      <c r="D32" s="15">
        <v>0</v>
      </c>
      <c r="E32" s="16"/>
      <c r="F32" s="14" t="str">
        <v>Sojasprossen</v>
      </c>
      <c r="G32" s="47" t="str">
        <v>kg</v>
      </c>
      <c r="H32" s="15">
        <v>0</v>
      </c>
    </row>
    <row r="33" spans="1:8" ht="18.95" customHeight="1" x14ac:dyDescent="0.2">
      <c r="B33" s="14" t="str">
        <v xml:space="preserve">Feldsalat </v>
      </c>
      <c r="C33" s="47" t="str">
        <v xml:space="preserve">Paket (kl.) </v>
      </c>
      <c r="D33" s="15">
        <v>0</v>
      </c>
      <c r="E33" s="16"/>
      <c r="F33" s="14" t="str">
        <v>Spargel, grün</v>
      </c>
      <c r="G33" s="47" t="str">
        <v>Bund</v>
      </c>
      <c r="H33" s="15">
        <v>10</v>
      </c>
    </row>
    <row r="34" spans="1:8" ht="18.95" customHeight="1" x14ac:dyDescent="0.2">
      <c r="B34" s="14" t="str">
        <v>Fenchel</v>
      </c>
      <c r="C34" s="47" t="str">
        <v>KG</v>
      </c>
      <c r="D34" s="15">
        <v>0</v>
      </c>
      <c r="E34" s="16"/>
      <c r="F34" s="14" t="str">
        <v>Spinat (schöner,300g)</v>
      </c>
      <c r="G34" s="47" t="str">
        <v>Beutel</v>
      </c>
      <c r="H34" s="15">
        <v>4</v>
      </c>
    </row>
    <row r="35" spans="1:8" ht="18.95" customHeight="1" x14ac:dyDescent="0.2">
      <c r="B35" s="14" t="str">
        <v>Frisee-Salat</v>
      </c>
      <c r="C35" s="47" t="str">
        <v>1 Kopf</v>
      </c>
      <c r="D35" s="15">
        <v>0</v>
      </c>
      <c r="E35" s="16"/>
      <c r="F35" s="14" t="str">
        <v>Spitzkohl</v>
      </c>
      <c r="G35" s="47" t="str">
        <v>Stück</v>
      </c>
      <c r="H35" s="15">
        <v>4</v>
      </c>
    </row>
    <row r="36" spans="1:8" ht="18.95" customHeight="1" x14ac:dyDescent="0.2">
      <c r="B36" s="14" t="str">
        <v>Frühlingszwiebeln</v>
      </c>
      <c r="C36" s="47" t="str">
        <v>Kiste</v>
      </c>
      <c r="D36" s="15">
        <v>0</v>
      </c>
      <c r="E36" s="16"/>
      <c r="F36" s="14" t="str">
        <v>Süsskartoffeln</v>
      </c>
      <c r="G36" s="47" t="str">
        <v>Kiste</v>
      </c>
      <c r="H36" s="15">
        <v>0</v>
      </c>
    </row>
    <row r="37" spans="1:8" ht="18.95" customHeight="1" x14ac:dyDescent="0.2">
      <c r="B37" s="14" t="str">
        <v>Gartenkresse</v>
      </c>
      <c r="C37" s="47" t="str">
        <v>Kiste</v>
      </c>
      <c r="D37" s="15">
        <v>2</v>
      </c>
      <c r="E37" s="16"/>
      <c r="F37" s="14" t="str">
        <v>Thymian</v>
      </c>
      <c r="G37" s="47" t="str">
        <v>Bund</v>
      </c>
      <c r="H37" s="15">
        <v>0</v>
      </c>
    </row>
    <row r="38" spans="1:8" ht="18.95" customHeight="1" x14ac:dyDescent="0.2">
      <c r="B38" s="14" t="str">
        <v>Gurken</v>
      </c>
      <c r="C38" s="47" t="str">
        <v>kl. Kiste</v>
      </c>
      <c r="D38" s="15">
        <v>0</v>
      </c>
      <c r="E38" s="16"/>
      <c r="F38" s="14" t="str">
        <v>Tomaten, Cocktail-</v>
      </c>
      <c r="G38" s="47" t="str">
        <v>Kiste</v>
      </c>
      <c r="H38" s="15">
        <v>0</v>
      </c>
    </row>
    <row r="39" spans="1:8" ht="18.95" customHeight="1" x14ac:dyDescent="0.2">
      <c r="B39" s="14" t="str">
        <v>Himbeeren</v>
      </c>
      <c r="C39" s="47" t="str">
        <v>Schachtel</v>
      </c>
      <c r="D39" s="15">
        <v>0</v>
      </c>
      <c r="E39" s="16"/>
      <c r="F39" s="14" t="str">
        <v>Tomaten, Strauch-/Rispen-</v>
      </c>
      <c r="G39" s="47" t="str">
        <v>Kiste</v>
      </c>
      <c r="H39" s="15">
        <v>1</v>
      </c>
    </row>
    <row r="40" spans="1:8" ht="18.95" customHeight="1" x14ac:dyDescent="0.2">
      <c r="B40" s="14" t="str">
        <v>Honig Melone</v>
      </c>
      <c r="C40" s="47" t="str">
        <v>Stück</v>
      </c>
      <c r="D40" s="15">
        <v>0</v>
      </c>
      <c r="E40" s="16"/>
      <c r="F40" s="14" t="str">
        <v>Tomatenwürfel</v>
      </c>
      <c r="G40" s="47" t="str">
        <v>Paket</v>
      </c>
      <c r="H40" s="17">
        <v>0</v>
      </c>
    </row>
    <row r="41" spans="1:8" ht="18.95" customHeight="1" x14ac:dyDescent="0.2">
      <c r="B41" s="14" t="str">
        <v>Ingwer frisch</v>
      </c>
      <c r="C41" s="47" t="str">
        <v>kg</v>
      </c>
      <c r="D41" s="15">
        <v>0</v>
      </c>
      <c r="E41" s="16"/>
      <c r="F41" s="14" t="str">
        <v xml:space="preserve">Trauben (hell) </v>
      </c>
      <c r="G41" s="47" t="str">
        <v>Kg</v>
      </c>
      <c r="H41" s="15">
        <v>0</v>
      </c>
    </row>
    <row r="42" spans="1:8" ht="18.95" customHeight="1" x14ac:dyDescent="0.2">
      <c r="B42" s="14" t="str">
        <v>Karotten / Möhren</v>
      </c>
      <c r="C42" s="47" t="str">
        <v>Kiste</v>
      </c>
      <c r="D42" s="15">
        <v>1</v>
      </c>
      <c r="E42" s="16"/>
      <c r="F42" s="14" t="str">
        <v>Wirsing</v>
      </c>
      <c r="G42" s="47" t="str">
        <v>Stück</v>
      </c>
      <c r="H42" s="15">
        <v>0</v>
      </c>
    </row>
    <row r="43" spans="1:8" ht="18.95" customHeight="1" x14ac:dyDescent="0.2">
      <c r="A43" s="8"/>
      <c r="B43" s="14" t="str">
        <v>Kartoffeln, grosse</v>
      </c>
      <c r="C43" s="47" t="str">
        <v>10 Kg</v>
      </c>
      <c r="D43" s="15">
        <v>0</v>
      </c>
      <c r="E43" s="16"/>
      <c r="F43" s="14" t="str">
        <v>Zitronen(5kg)</v>
      </c>
      <c r="G43" s="47" t="str">
        <v>kl. Kiste</v>
      </c>
      <c r="H43" s="15">
        <v>0</v>
      </c>
    </row>
    <row r="44" spans="1:8" ht="18.95" customHeight="1" x14ac:dyDescent="0.2">
      <c r="A44" s="8"/>
      <c r="B44" s="14" t="str">
        <v>Kartoffeln, neue</v>
      </c>
      <c r="C44" s="47" t="str">
        <v>Kiste</v>
      </c>
      <c r="D44" s="15">
        <v>0</v>
      </c>
      <c r="E44" s="16"/>
      <c r="F44" s="37" t="str">
        <v>Zitronenmelisse</v>
      </c>
      <c r="G44" s="49" t="str">
        <v>Paket</v>
      </c>
      <c r="H44" s="38">
        <v>0</v>
      </c>
    </row>
    <row r="45" spans="1:8" ht="18" x14ac:dyDescent="0.2">
      <c r="B45" s="14" t="str">
        <v>Kerbel</v>
      </c>
      <c r="C45" s="47" t="str">
        <v>1 Bund</v>
      </c>
      <c r="D45" s="15">
        <v>0</v>
      </c>
      <c r="E45" s="16"/>
      <c r="F45" s="14" t="str">
        <v>Zucchini</v>
      </c>
      <c r="G45" s="47" t="str">
        <v>Kiste</v>
      </c>
      <c r="H45" s="15">
        <v>1</v>
      </c>
    </row>
    <row r="46" spans="1:8" ht="18" x14ac:dyDescent="0.2">
      <c r="B46" s="14" t="str">
        <v>Kohlrabi</v>
      </c>
      <c r="C46" s="47" t="str">
        <v>Stück</v>
      </c>
      <c r="D46" s="15">
        <v>8</v>
      </c>
      <c r="E46" s="16"/>
      <c r="F46" s="14" t="str">
        <v>Zuckerschoten</v>
      </c>
      <c r="G46" s="47" t="str">
        <v>Paket</v>
      </c>
      <c r="H46" s="15">
        <v>0</v>
      </c>
    </row>
    <row r="47" spans="1:8" ht="18" x14ac:dyDescent="0.2">
      <c r="B47" s="14" t="str">
        <v>Koriander</v>
      </c>
      <c r="C47" s="47" t="str">
        <v>Bund</v>
      </c>
      <c r="D47" s="15">
        <v>0</v>
      </c>
      <c r="E47" s="16"/>
      <c r="F47" s="14" t="str">
        <v>Zwiebeln, rot</v>
      </c>
      <c r="G47" s="47" t="str">
        <v>5 kg Sack</v>
      </c>
      <c r="H47" s="15">
        <v>0</v>
      </c>
    </row>
    <row r="48" spans="1:8" ht="18" x14ac:dyDescent="0.2">
      <c r="B48" s="14" t="str">
        <v>Kräutersalat</v>
      </c>
      <c r="C48" s="47" t="str">
        <v>Beutel</v>
      </c>
      <c r="D48" s="15">
        <v>12</v>
      </c>
      <c r="E48" s="16"/>
      <c r="F48" s="14" t="str">
        <v>Zwiebeln, weiß</v>
      </c>
      <c r="G48" s="47" t="str">
        <v>10kg</v>
      </c>
      <c r="H48" s="15">
        <v>1</v>
      </c>
    </row>
    <row r="49" spans="2:8" ht="18" x14ac:dyDescent="0.2">
      <c r="B49" s="14" t="str">
        <v>Kräuterseitlinge</v>
      </c>
      <c r="C49" s="47" t="str">
        <v>Paket</v>
      </c>
      <c r="D49" s="15">
        <v>0</v>
      </c>
      <c r="E49" s="16"/>
      <c r="F49" s="14"/>
      <c r="G49" s="47"/>
      <c r="H49" s="15"/>
    </row>
    <row r="50" spans="2:8" ht="18.75" thickBot="1" x14ac:dyDescent="0.25">
      <c r="B50" s="18"/>
      <c r="C50" s="48"/>
      <c r="D50" s="19"/>
      <c r="E50" s="41"/>
      <c r="F50" s="18"/>
      <c r="G50" s="48"/>
      <c r="H50" s="19"/>
    </row>
  </sheetData>
  <mergeCells count="1">
    <mergeCell ref="B1:H1"/>
  </mergeCells>
  <phoneticPr fontId="0" type="noConversion"/>
  <conditionalFormatting sqref="D12:D50 H12:H50">
    <cfRule type="cellIs" dxfId="2" priority="1" operator="equal">
      <formula>0</formula>
    </cfRule>
  </conditionalFormatting>
  <pageMargins left="0.74" right="0.4" top="0.99" bottom="0.984251969" header="0.49" footer="0.4921259845"/>
  <pageSetup paperSize="9" scale="67" fitToHeight="0" orientation="portrait" horizontalDpi="12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0669-88B9-4A72-B434-717204CDBEC4}">
  <sheetPr codeName="Tabelle2"/>
  <dimension ref="A1:G91"/>
  <sheetViews>
    <sheetView topLeftCell="A71" workbookViewId="0">
      <selection activeCell="E89" sqref="E89"/>
    </sheetView>
  </sheetViews>
  <sheetFormatPr baseColWidth="10" defaultRowHeight="25.5" x14ac:dyDescent="0.2"/>
  <cols>
    <col min="1" max="1" width="22.140625" bestFit="1" customWidth="1"/>
    <col min="2" max="2" width="11.140625" bestFit="1" customWidth="1"/>
    <col min="3" max="3" width="6.5703125" bestFit="1" customWidth="1"/>
    <col min="4" max="4" width="7.140625" bestFit="1" customWidth="1"/>
    <col min="5" max="5" width="16" style="53" bestFit="1" customWidth="1"/>
    <col min="6" max="6" width="9.42578125" customWidth="1"/>
    <col min="7" max="7" width="8.28515625" bestFit="1" customWidth="1"/>
  </cols>
  <sheetData>
    <row r="1" spans="1:7" x14ac:dyDescent="0.2">
      <c r="A1" t="s">
        <v>5</v>
      </c>
      <c r="B1" t="s">
        <v>102</v>
      </c>
      <c r="C1" t="s">
        <v>128</v>
      </c>
      <c r="D1" t="s">
        <v>129</v>
      </c>
      <c r="E1" s="53" t="s">
        <v>7</v>
      </c>
      <c r="F1" t="s">
        <v>130</v>
      </c>
      <c r="G1" t="s">
        <v>103</v>
      </c>
    </row>
    <row r="2" spans="1:7" x14ac:dyDescent="0.2">
      <c r="A2" t="s">
        <v>18</v>
      </c>
      <c r="B2" t="s">
        <v>21</v>
      </c>
      <c r="C2">
        <v>2</v>
      </c>
      <c r="D2">
        <v>5</v>
      </c>
      <c r="F2" t="s">
        <v>131</v>
      </c>
      <c r="G2" s="57" t="b">
        <v>1</v>
      </c>
    </row>
    <row r="3" spans="1:7" x14ac:dyDescent="0.2">
      <c r="A3" t="s">
        <v>114</v>
      </c>
      <c r="B3" t="s">
        <v>17</v>
      </c>
      <c r="C3">
        <v>1</v>
      </c>
      <c r="D3">
        <v>2</v>
      </c>
      <c r="E3" s="53">
        <v>1</v>
      </c>
      <c r="F3" t="s">
        <v>131</v>
      </c>
      <c r="G3" s="57" t="b">
        <v>1</v>
      </c>
    </row>
    <row r="4" spans="1:7" x14ac:dyDescent="0.2">
      <c r="A4" t="s">
        <v>22</v>
      </c>
      <c r="B4" t="s">
        <v>17</v>
      </c>
      <c r="C4">
        <v>1</v>
      </c>
      <c r="D4">
        <v>1</v>
      </c>
      <c r="F4" t="s">
        <v>131</v>
      </c>
      <c r="G4" s="57" t="b">
        <v>1</v>
      </c>
    </row>
    <row r="5" spans="1:7" x14ac:dyDescent="0.2">
      <c r="A5" t="s">
        <v>23</v>
      </c>
      <c r="B5" t="s">
        <v>47</v>
      </c>
      <c r="C5">
        <v>1</v>
      </c>
      <c r="D5">
        <v>2</v>
      </c>
      <c r="F5" t="s">
        <v>131</v>
      </c>
      <c r="G5" s="57" t="b">
        <v>1</v>
      </c>
    </row>
    <row r="6" spans="1:7" x14ac:dyDescent="0.2">
      <c r="A6" t="s">
        <v>39</v>
      </c>
      <c r="B6" t="s">
        <v>21</v>
      </c>
      <c r="C6">
        <v>8</v>
      </c>
      <c r="D6">
        <v>16</v>
      </c>
      <c r="F6" t="s">
        <v>131</v>
      </c>
      <c r="G6" s="57" t="b">
        <v>1</v>
      </c>
    </row>
    <row r="7" spans="1:7" x14ac:dyDescent="0.2">
      <c r="A7" s="28" t="s">
        <v>127</v>
      </c>
      <c r="B7" t="s">
        <v>16</v>
      </c>
      <c r="C7">
        <v>6</v>
      </c>
      <c r="D7">
        <v>10</v>
      </c>
      <c r="F7" t="s">
        <v>131</v>
      </c>
      <c r="G7" s="57" t="b">
        <v>1</v>
      </c>
    </row>
    <row r="8" spans="1:7" hidden="1" x14ac:dyDescent="0.2">
      <c r="A8" t="s">
        <v>107</v>
      </c>
      <c r="B8" t="s">
        <v>16</v>
      </c>
      <c r="F8" t="s">
        <v>131</v>
      </c>
      <c r="G8" s="57" t="b">
        <v>0</v>
      </c>
    </row>
    <row r="9" spans="1:7" x14ac:dyDescent="0.2">
      <c r="A9" t="s">
        <v>12</v>
      </c>
      <c r="B9" t="s">
        <v>16</v>
      </c>
      <c r="C9">
        <v>2</v>
      </c>
      <c r="D9">
        <v>5</v>
      </c>
      <c r="F9" t="s">
        <v>131</v>
      </c>
      <c r="G9" s="57" t="b">
        <v>1</v>
      </c>
    </row>
    <row r="10" spans="1:7" x14ac:dyDescent="0.2">
      <c r="A10" t="s">
        <v>61</v>
      </c>
      <c r="B10" t="s">
        <v>62</v>
      </c>
      <c r="F10" t="s">
        <v>131</v>
      </c>
      <c r="G10" s="57" t="b">
        <v>1</v>
      </c>
    </row>
    <row r="11" spans="1:7" x14ac:dyDescent="0.2">
      <c r="A11" t="s">
        <v>87</v>
      </c>
      <c r="B11" t="s">
        <v>21</v>
      </c>
      <c r="F11" t="s">
        <v>131</v>
      </c>
      <c r="G11" s="57" t="b">
        <v>1</v>
      </c>
    </row>
    <row r="12" spans="1:7" x14ac:dyDescent="0.2">
      <c r="A12" t="s">
        <v>49</v>
      </c>
      <c r="B12" t="s">
        <v>47</v>
      </c>
      <c r="C12">
        <v>3</v>
      </c>
      <c r="D12">
        <v>6</v>
      </c>
      <c r="F12" t="s">
        <v>131</v>
      </c>
      <c r="G12" s="57" t="b">
        <v>1</v>
      </c>
    </row>
    <row r="13" spans="1:7" x14ac:dyDescent="0.2">
      <c r="A13" t="s">
        <v>75</v>
      </c>
      <c r="B13" t="s">
        <v>21</v>
      </c>
      <c r="F13" t="s">
        <v>131</v>
      </c>
      <c r="G13" s="57" t="b">
        <v>1</v>
      </c>
    </row>
    <row r="14" spans="1:7" hidden="1" x14ac:dyDescent="0.2">
      <c r="A14" t="s">
        <v>112</v>
      </c>
      <c r="B14" t="s">
        <v>15</v>
      </c>
      <c r="F14" t="s">
        <v>131</v>
      </c>
      <c r="G14" s="57" t="b">
        <v>0</v>
      </c>
    </row>
    <row r="15" spans="1:7" x14ac:dyDescent="0.2">
      <c r="A15" t="s">
        <v>85</v>
      </c>
      <c r="B15" t="s">
        <v>21</v>
      </c>
      <c r="E15" s="53">
        <v>4</v>
      </c>
      <c r="F15" t="s">
        <v>131</v>
      </c>
      <c r="G15" s="57" t="b">
        <v>1</v>
      </c>
    </row>
    <row r="16" spans="1:7" hidden="1" x14ac:dyDescent="0.2">
      <c r="A16" t="s">
        <v>104</v>
      </c>
      <c r="B16" t="s">
        <v>21</v>
      </c>
      <c r="F16" t="s">
        <v>131</v>
      </c>
      <c r="G16" s="57" t="b">
        <v>0</v>
      </c>
    </row>
    <row r="17" spans="1:7" hidden="1" x14ac:dyDescent="0.2">
      <c r="A17" t="s">
        <v>111</v>
      </c>
      <c r="B17" t="s">
        <v>21</v>
      </c>
      <c r="F17" t="s">
        <v>131</v>
      </c>
      <c r="G17" s="57" t="b">
        <v>0</v>
      </c>
    </row>
    <row r="18" spans="1:7" x14ac:dyDescent="0.2">
      <c r="A18" t="s">
        <v>14</v>
      </c>
      <c r="B18" t="s">
        <v>17</v>
      </c>
      <c r="C18">
        <v>1</v>
      </c>
      <c r="D18">
        <v>2</v>
      </c>
      <c r="F18" t="s">
        <v>131</v>
      </c>
      <c r="G18" s="57" t="b">
        <v>1</v>
      </c>
    </row>
    <row r="19" spans="1:7" x14ac:dyDescent="0.2">
      <c r="A19" t="s">
        <v>95</v>
      </c>
      <c r="B19" t="s">
        <v>96</v>
      </c>
      <c r="F19" t="s">
        <v>131</v>
      </c>
      <c r="G19" s="57" t="b">
        <v>1</v>
      </c>
    </row>
    <row r="20" spans="1:7" x14ac:dyDescent="0.2">
      <c r="A20" t="s">
        <v>65</v>
      </c>
      <c r="B20" t="s">
        <v>66</v>
      </c>
      <c r="F20" t="s">
        <v>131</v>
      </c>
      <c r="G20" s="57" t="b">
        <v>1</v>
      </c>
    </row>
    <row r="21" spans="1:7" x14ac:dyDescent="0.2">
      <c r="A21" t="s">
        <v>67</v>
      </c>
      <c r="B21" t="s">
        <v>58</v>
      </c>
      <c r="F21" t="s">
        <v>131</v>
      </c>
      <c r="G21" s="57" t="b">
        <v>1</v>
      </c>
    </row>
    <row r="22" spans="1:7" x14ac:dyDescent="0.2">
      <c r="A22" t="s">
        <v>46</v>
      </c>
      <c r="B22" t="s">
        <v>16</v>
      </c>
      <c r="C22">
        <v>1</v>
      </c>
      <c r="D22">
        <v>1</v>
      </c>
      <c r="E22" s="53">
        <v>1</v>
      </c>
      <c r="F22" t="s">
        <v>131</v>
      </c>
      <c r="G22" s="57" t="b">
        <v>1</v>
      </c>
    </row>
    <row r="23" spans="1:7" x14ac:dyDescent="0.2">
      <c r="A23" t="s">
        <v>10</v>
      </c>
      <c r="B23" t="s">
        <v>17</v>
      </c>
      <c r="F23" t="s">
        <v>131</v>
      </c>
      <c r="G23" s="57" t="b">
        <v>1</v>
      </c>
    </row>
    <row r="24" spans="1:7" x14ac:dyDescent="0.2">
      <c r="A24" t="s">
        <v>63</v>
      </c>
      <c r="B24" t="s">
        <v>99</v>
      </c>
      <c r="C24">
        <v>2</v>
      </c>
      <c r="D24">
        <v>5</v>
      </c>
      <c r="E24" s="53">
        <v>2</v>
      </c>
      <c r="F24" t="s">
        <v>131</v>
      </c>
      <c r="G24" s="57" t="b">
        <v>1</v>
      </c>
    </row>
    <row r="25" spans="1:7" hidden="1" x14ac:dyDescent="0.2">
      <c r="A25" t="s">
        <v>109</v>
      </c>
      <c r="B25" t="s">
        <v>47</v>
      </c>
      <c r="F25" t="s">
        <v>131</v>
      </c>
      <c r="G25" s="57" t="b">
        <v>0</v>
      </c>
    </row>
    <row r="26" spans="1:7" x14ac:dyDescent="0.2">
      <c r="A26" t="s">
        <v>142</v>
      </c>
      <c r="B26" t="s">
        <v>16</v>
      </c>
      <c r="C26">
        <v>0</v>
      </c>
      <c r="D26">
        <v>1</v>
      </c>
      <c r="E26" s="58"/>
      <c r="F26" t="s">
        <v>131</v>
      </c>
      <c r="G26" s="57" t="b">
        <v>1</v>
      </c>
    </row>
    <row r="27" spans="1:7" x14ac:dyDescent="0.2">
      <c r="A27" t="s">
        <v>115</v>
      </c>
      <c r="B27" t="s">
        <v>21</v>
      </c>
      <c r="F27" t="s">
        <v>131</v>
      </c>
      <c r="G27" s="57" t="b">
        <v>1</v>
      </c>
    </row>
    <row r="28" spans="1:7" x14ac:dyDescent="0.2">
      <c r="A28" t="s">
        <v>79</v>
      </c>
      <c r="B28" t="s">
        <v>100</v>
      </c>
      <c r="F28" t="s">
        <v>131</v>
      </c>
      <c r="G28" s="57" t="b">
        <v>1</v>
      </c>
    </row>
    <row r="29" spans="1:7" x14ac:dyDescent="0.2">
      <c r="A29" t="s">
        <v>27</v>
      </c>
      <c r="B29" t="s">
        <v>141</v>
      </c>
      <c r="F29" t="s">
        <v>131</v>
      </c>
      <c r="G29" s="57" t="b">
        <v>1</v>
      </c>
    </row>
    <row r="30" spans="1:7" x14ac:dyDescent="0.2">
      <c r="A30" t="s">
        <v>124</v>
      </c>
      <c r="B30" t="s">
        <v>125</v>
      </c>
      <c r="F30" t="s">
        <v>131</v>
      </c>
      <c r="G30" s="57" t="b">
        <v>1</v>
      </c>
    </row>
    <row r="31" spans="1:7" x14ac:dyDescent="0.2">
      <c r="A31" t="s">
        <v>11</v>
      </c>
      <c r="B31" t="s">
        <v>17</v>
      </c>
      <c r="C31">
        <v>1</v>
      </c>
      <c r="D31">
        <v>1</v>
      </c>
      <c r="F31" t="s">
        <v>131</v>
      </c>
      <c r="G31" s="57" t="b">
        <v>1</v>
      </c>
    </row>
    <row r="32" spans="1:7" hidden="1" x14ac:dyDescent="0.2">
      <c r="A32" t="s">
        <v>45</v>
      </c>
      <c r="B32" t="s">
        <v>16</v>
      </c>
      <c r="F32" t="s">
        <v>131</v>
      </c>
      <c r="G32" s="57" t="b">
        <v>0</v>
      </c>
    </row>
    <row r="33" spans="1:7" x14ac:dyDescent="0.2">
      <c r="A33" t="s">
        <v>38</v>
      </c>
      <c r="B33" t="s">
        <v>17</v>
      </c>
      <c r="C33">
        <v>1</v>
      </c>
      <c r="D33">
        <v>2</v>
      </c>
      <c r="E33" s="53">
        <v>2</v>
      </c>
      <c r="F33" t="s">
        <v>131</v>
      </c>
      <c r="G33" s="57" t="b">
        <v>1</v>
      </c>
    </row>
    <row r="34" spans="1:7" x14ac:dyDescent="0.2">
      <c r="A34" t="s">
        <v>24</v>
      </c>
      <c r="B34" t="s">
        <v>25</v>
      </c>
      <c r="C34">
        <v>2</v>
      </c>
      <c r="D34">
        <v>3</v>
      </c>
      <c r="F34" t="s">
        <v>131</v>
      </c>
      <c r="G34" s="57" t="b">
        <v>1</v>
      </c>
    </row>
    <row r="35" spans="1:7" x14ac:dyDescent="0.2">
      <c r="A35" t="s">
        <v>48</v>
      </c>
      <c r="B35" t="s">
        <v>47</v>
      </c>
      <c r="C35">
        <v>3</v>
      </c>
      <c r="D35">
        <v>6</v>
      </c>
      <c r="F35" t="s">
        <v>131</v>
      </c>
      <c r="G35" s="57" t="b">
        <v>1</v>
      </c>
    </row>
    <row r="36" spans="1:7" x14ac:dyDescent="0.2">
      <c r="A36" t="s">
        <v>84</v>
      </c>
      <c r="B36" t="s">
        <v>21</v>
      </c>
      <c r="F36" t="s">
        <v>131</v>
      </c>
      <c r="G36" s="57" t="b">
        <v>0</v>
      </c>
    </row>
    <row r="37" spans="1:7" x14ac:dyDescent="0.2">
      <c r="A37" t="s">
        <v>86</v>
      </c>
      <c r="B37" t="s">
        <v>21</v>
      </c>
      <c r="F37" t="s">
        <v>131</v>
      </c>
      <c r="G37" s="57" t="b">
        <v>1</v>
      </c>
    </row>
    <row r="38" spans="1:7" x14ac:dyDescent="0.2">
      <c r="A38" t="s">
        <v>20</v>
      </c>
      <c r="B38" t="s">
        <v>15</v>
      </c>
      <c r="C38">
        <v>0.5</v>
      </c>
      <c r="D38">
        <v>1</v>
      </c>
      <c r="F38" t="s">
        <v>131</v>
      </c>
      <c r="G38" s="57" t="b">
        <v>1</v>
      </c>
    </row>
    <row r="39" spans="1:7" x14ac:dyDescent="0.2">
      <c r="A39" t="s">
        <v>120</v>
      </c>
      <c r="B39" t="s">
        <v>17</v>
      </c>
      <c r="C39">
        <v>1</v>
      </c>
      <c r="D39">
        <v>1</v>
      </c>
      <c r="E39" s="53">
        <v>1</v>
      </c>
      <c r="F39" t="s">
        <v>131</v>
      </c>
      <c r="G39" s="57" t="b">
        <v>1</v>
      </c>
    </row>
    <row r="40" spans="1:7" x14ac:dyDescent="0.2">
      <c r="A40" t="s">
        <v>123</v>
      </c>
      <c r="B40" t="s">
        <v>44</v>
      </c>
      <c r="C40">
        <v>1</v>
      </c>
      <c r="D40">
        <v>1</v>
      </c>
      <c r="F40" t="s">
        <v>131</v>
      </c>
      <c r="G40" s="57" t="b">
        <v>1</v>
      </c>
    </row>
    <row r="41" spans="1:7" x14ac:dyDescent="0.2">
      <c r="A41" t="s">
        <v>121</v>
      </c>
      <c r="B41" t="s">
        <v>17</v>
      </c>
      <c r="C41">
        <v>1</v>
      </c>
      <c r="D41">
        <v>1</v>
      </c>
      <c r="F41" t="s">
        <v>131</v>
      </c>
      <c r="G41" s="57" t="b">
        <v>1</v>
      </c>
    </row>
    <row r="42" spans="1:7" x14ac:dyDescent="0.2">
      <c r="A42" t="s">
        <v>134</v>
      </c>
      <c r="B42" t="s">
        <v>135</v>
      </c>
      <c r="F42" t="s">
        <v>131</v>
      </c>
      <c r="G42" s="57" t="b">
        <v>1</v>
      </c>
    </row>
    <row r="43" spans="1:7" x14ac:dyDescent="0.2">
      <c r="A43" s="28" t="s">
        <v>145</v>
      </c>
      <c r="B43" s="28" t="s">
        <v>21</v>
      </c>
      <c r="E43" s="53">
        <v>8</v>
      </c>
      <c r="F43" s="28" t="s">
        <v>131</v>
      </c>
      <c r="G43" s="57" t="b">
        <v>1</v>
      </c>
    </row>
    <row r="44" spans="1:7" x14ac:dyDescent="0.2">
      <c r="A44" t="s">
        <v>40</v>
      </c>
      <c r="B44" t="s">
        <v>16</v>
      </c>
      <c r="F44" t="s">
        <v>131</v>
      </c>
      <c r="G44" s="57" t="b">
        <v>1</v>
      </c>
    </row>
    <row r="45" spans="1:7" x14ac:dyDescent="0.2">
      <c r="A45" t="s">
        <v>59</v>
      </c>
      <c r="B45" t="s">
        <v>57</v>
      </c>
      <c r="C45">
        <v>16</v>
      </c>
      <c r="D45">
        <v>32</v>
      </c>
      <c r="E45" s="53">
        <v>12</v>
      </c>
      <c r="F45" t="s">
        <v>131</v>
      </c>
      <c r="G45" s="57" t="b">
        <v>1</v>
      </c>
    </row>
    <row r="46" spans="1:7" x14ac:dyDescent="0.2">
      <c r="A46" t="s">
        <v>77</v>
      </c>
      <c r="B46" t="s">
        <v>62</v>
      </c>
      <c r="C46">
        <v>1</v>
      </c>
      <c r="D46">
        <v>1</v>
      </c>
      <c r="F46" t="s">
        <v>131</v>
      </c>
      <c r="G46" s="57" t="b">
        <v>1</v>
      </c>
    </row>
    <row r="47" spans="1:7" x14ac:dyDescent="0.2">
      <c r="A47" s="28" t="s">
        <v>147</v>
      </c>
      <c r="B47" s="28" t="s">
        <v>148</v>
      </c>
      <c r="F47" s="28" t="s">
        <v>131</v>
      </c>
      <c r="G47" s="57" t="b">
        <v>1</v>
      </c>
    </row>
    <row r="48" spans="1:7" x14ac:dyDescent="0.2">
      <c r="A48" t="s">
        <v>73</v>
      </c>
      <c r="B48" t="s">
        <v>74</v>
      </c>
      <c r="E48" s="53">
        <v>8</v>
      </c>
      <c r="F48" t="s">
        <v>131</v>
      </c>
      <c r="G48" s="57" t="b">
        <v>1</v>
      </c>
    </row>
    <row r="49" spans="1:7" x14ac:dyDescent="0.2">
      <c r="A49" t="s">
        <v>29</v>
      </c>
      <c r="B49" t="s">
        <v>17</v>
      </c>
      <c r="F49" t="s">
        <v>131</v>
      </c>
      <c r="G49" s="57" t="b">
        <v>1</v>
      </c>
    </row>
    <row r="50" spans="1:7" hidden="1" x14ac:dyDescent="0.2">
      <c r="A50" t="s">
        <v>70</v>
      </c>
      <c r="B50" t="s">
        <v>17</v>
      </c>
      <c r="F50" t="s">
        <v>131</v>
      </c>
      <c r="G50" s="57" t="b">
        <v>0</v>
      </c>
    </row>
    <row r="51" spans="1:7" x14ac:dyDescent="0.2">
      <c r="A51" t="s">
        <v>32</v>
      </c>
      <c r="B51" t="s">
        <v>16</v>
      </c>
      <c r="C51">
        <v>2</v>
      </c>
      <c r="D51">
        <v>5</v>
      </c>
      <c r="F51" t="s">
        <v>131</v>
      </c>
      <c r="G51" s="57" t="b">
        <v>1</v>
      </c>
    </row>
    <row r="52" spans="1:7" hidden="1" x14ac:dyDescent="0.2">
      <c r="A52" t="s">
        <v>68</v>
      </c>
      <c r="B52" t="s">
        <v>69</v>
      </c>
      <c r="F52" t="s">
        <v>131</v>
      </c>
      <c r="G52" s="57" t="b">
        <v>0</v>
      </c>
    </row>
    <row r="53" spans="1:7" x14ac:dyDescent="0.2">
      <c r="A53" s="28" t="s">
        <v>126</v>
      </c>
      <c r="B53" t="s">
        <v>82</v>
      </c>
      <c r="C53">
        <v>1</v>
      </c>
      <c r="D53">
        <v>2</v>
      </c>
      <c r="F53" t="s">
        <v>131</v>
      </c>
      <c r="G53" s="57" t="b">
        <v>1</v>
      </c>
    </row>
    <row r="54" spans="1:7" x14ac:dyDescent="0.2">
      <c r="A54" t="s">
        <v>122</v>
      </c>
      <c r="B54" t="s">
        <v>80</v>
      </c>
      <c r="F54" t="s">
        <v>131</v>
      </c>
      <c r="G54" s="57" t="b">
        <v>1</v>
      </c>
    </row>
    <row r="55" spans="1:7" hidden="1" x14ac:dyDescent="0.2">
      <c r="A55" t="s">
        <v>105</v>
      </c>
      <c r="B55" t="s">
        <v>106</v>
      </c>
      <c r="F55" t="s">
        <v>131</v>
      </c>
      <c r="G55" s="57" t="b">
        <v>0</v>
      </c>
    </row>
    <row r="56" spans="1:7" hidden="1" x14ac:dyDescent="0.2">
      <c r="A56" t="s">
        <v>90</v>
      </c>
      <c r="B56" t="s">
        <v>81</v>
      </c>
      <c r="F56" t="s">
        <v>131</v>
      </c>
      <c r="G56" s="57" t="b">
        <v>0</v>
      </c>
    </row>
    <row r="57" spans="1:7" x14ac:dyDescent="0.2">
      <c r="A57" t="s">
        <v>54</v>
      </c>
      <c r="B57" t="s">
        <v>17</v>
      </c>
      <c r="C57">
        <v>1</v>
      </c>
      <c r="D57">
        <v>2</v>
      </c>
      <c r="F57" t="s">
        <v>131</v>
      </c>
      <c r="G57" s="57" t="b">
        <v>1</v>
      </c>
    </row>
    <row r="58" spans="1:7" x14ac:dyDescent="0.2">
      <c r="A58" s="28" t="s">
        <v>136</v>
      </c>
      <c r="B58" t="s">
        <v>71</v>
      </c>
      <c r="F58" t="s">
        <v>131</v>
      </c>
      <c r="G58" s="57" t="b">
        <v>1</v>
      </c>
    </row>
    <row r="59" spans="1:7" x14ac:dyDescent="0.2">
      <c r="A59" s="28" t="s">
        <v>137</v>
      </c>
      <c r="B59" t="s">
        <v>16</v>
      </c>
      <c r="C59">
        <v>1</v>
      </c>
      <c r="D59">
        <v>1</v>
      </c>
      <c r="F59" t="s">
        <v>131</v>
      </c>
      <c r="G59" s="57" t="b">
        <v>1</v>
      </c>
    </row>
    <row r="60" spans="1:7" hidden="1" x14ac:dyDescent="0.2">
      <c r="A60" t="s">
        <v>88</v>
      </c>
      <c r="B60" t="s">
        <v>58</v>
      </c>
      <c r="F60" t="s">
        <v>131</v>
      </c>
      <c r="G60" s="57" t="b">
        <v>0</v>
      </c>
    </row>
    <row r="61" spans="1:7" hidden="1" x14ac:dyDescent="0.2">
      <c r="A61" t="s">
        <v>94</v>
      </c>
      <c r="B61" t="s">
        <v>83</v>
      </c>
      <c r="F61" t="s">
        <v>131</v>
      </c>
      <c r="G61" s="57" t="b">
        <v>0</v>
      </c>
    </row>
    <row r="62" spans="1:7" x14ac:dyDescent="0.2">
      <c r="A62" t="s">
        <v>50</v>
      </c>
      <c r="B62" t="s">
        <v>47</v>
      </c>
      <c r="C62">
        <v>2</v>
      </c>
      <c r="D62">
        <v>4</v>
      </c>
      <c r="F62" t="s">
        <v>131</v>
      </c>
      <c r="G62" s="57" t="b">
        <v>1</v>
      </c>
    </row>
    <row r="63" spans="1:7" x14ac:dyDescent="0.2">
      <c r="A63" t="s">
        <v>78</v>
      </c>
      <c r="B63" t="s">
        <v>17</v>
      </c>
      <c r="F63" t="s">
        <v>131</v>
      </c>
      <c r="G63" s="57" t="b">
        <v>0</v>
      </c>
    </row>
    <row r="64" spans="1:7" x14ac:dyDescent="0.2">
      <c r="A64" t="s">
        <v>76</v>
      </c>
      <c r="B64" t="s">
        <v>21</v>
      </c>
      <c r="F64" t="s">
        <v>131</v>
      </c>
      <c r="G64" s="57" t="b">
        <v>1</v>
      </c>
    </row>
    <row r="65" spans="1:7" x14ac:dyDescent="0.2">
      <c r="A65" s="28" t="s">
        <v>146</v>
      </c>
      <c r="B65" s="28" t="s">
        <v>16</v>
      </c>
      <c r="F65" s="28" t="s">
        <v>131</v>
      </c>
      <c r="G65" s="57" t="b">
        <v>1</v>
      </c>
    </row>
    <row r="66" spans="1:7" x14ac:dyDescent="0.2">
      <c r="A66" t="s">
        <v>13</v>
      </c>
      <c r="B66" t="s">
        <v>16</v>
      </c>
      <c r="C66">
        <v>1</v>
      </c>
      <c r="D66">
        <v>2</v>
      </c>
      <c r="E66" s="53">
        <v>1</v>
      </c>
      <c r="F66" t="s">
        <v>131</v>
      </c>
      <c r="G66" s="57" t="b">
        <v>1</v>
      </c>
    </row>
    <row r="67" spans="1:7" x14ac:dyDescent="0.2">
      <c r="A67" t="s">
        <v>92</v>
      </c>
      <c r="B67" t="s">
        <v>57</v>
      </c>
      <c r="F67" t="s">
        <v>131</v>
      </c>
      <c r="G67" s="57" t="b">
        <v>1</v>
      </c>
    </row>
    <row r="68" spans="1:7" x14ac:dyDescent="0.2">
      <c r="A68" t="s">
        <v>52</v>
      </c>
      <c r="B68" t="s">
        <v>98</v>
      </c>
      <c r="C68">
        <v>8</v>
      </c>
      <c r="D68">
        <v>16</v>
      </c>
      <c r="E68" s="53">
        <v>8</v>
      </c>
      <c r="F68" t="s">
        <v>131</v>
      </c>
      <c r="G68" s="57" t="b">
        <v>1</v>
      </c>
    </row>
    <row r="69" spans="1:7" x14ac:dyDescent="0.2">
      <c r="A69" t="s">
        <v>89</v>
      </c>
      <c r="B69" t="s">
        <v>16</v>
      </c>
      <c r="F69" t="s">
        <v>131</v>
      </c>
      <c r="G69" s="57" t="b">
        <v>1</v>
      </c>
    </row>
    <row r="70" spans="1:7" x14ac:dyDescent="0.2">
      <c r="A70" s="28" t="s">
        <v>143</v>
      </c>
      <c r="B70" s="28" t="s">
        <v>144</v>
      </c>
      <c r="E70" s="53">
        <v>1</v>
      </c>
      <c r="F70" s="28" t="s">
        <v>131</v>
      </c>
      <c r="G70" s="57" t="b">
        <v>1</v>
      </c>
    </row>
    <row r="71" spans="1:7" x14ac:dyDescent="0.2">
      <c r="A71" t="s">
        <v>35</v>
      </c>
      <c r="B71" t="s">
        <v>34</v>
      </c>
      <c r="C71">
        <v>1</v>
      </c>
      <c r="D71">
        <v>2</v>
      </c>
      <c r="E71" s="53">
        <v>1</v>
      </c>
      <c r="F71" t="s">
        <v>131</v>
      </c>
      <c r="G71" s="57" t="b">
        <v>1</v>
      </c>
    </row>
    <row r="72" spans="1:7" x14ac:dyDescent="0.2">
      <c r="A72" s="28" t="s">
        <v>132</v>
      </c>
      <c r="B72" t="s">
        <v>21</v>
      </c>
      <c r="C72">
        <v>3</v>
      </c>
      <c r="D72">
        <v>5</v>
      </c>
      <c r="E72" s="53">
        <v>2</v>
      </c>
      <c r="F72" t="s">
        <v>131</v>
      </c>
      <c r="G72" s="57" t="b">
        <v>1</v>
      </c>
    </row>
    <row r="73" spans="1:7" hidden="1" x14ac:dyDescent="0.2">
      <c r="A73" t="s">
        <v>113</v>
      </c>
      <c r="B73" t="s">
        <v>21</v>
      </c>
      <c r="F73" t="s">
        <v>131</v>
      </c>
      <c r="G73" s="57" t="b">
        <v>0</v>
      </c>
    </row>
    <row r="74" spans="1:7" x14ac:dyDescent="0.2">
      <c r="A74" s="28" t="s">
        <v>133</v>
      </c>
      <c r="B74" t="s">
        <v>21</v>
      </c>
      <c r="C74">
        <v>2</v>
      </c>
      <c r="D74">
        <v>3</v>
      </c>
      <c r="E74" s="53">
        <v>2</v>
      </c>
      <c r="F74" t="s">
        <v>131</v>
      </c>
      <c r="G74" s="57" t="b">
        <v>1</v>
      </c>
    </row>
    <row r="75" spans="1:7" x14ac:dyDescent="0.2">
      <c r="A75" t="s">
        <v>91</v>
      </c>
      <c r="B75" s="28" t="s">
        <v>15</v>
      </c>
      <c r="F75" t="s">
        <v>131</v>
      </c>
      <c r="G75" s="57" t="b">
        <v>1</v>
      </c>
    </row>
    <row r="76" spans="1:7" x14ac:dyDescent="0.2">
      <c r="A76" t="s">
        <v>119</v>
      </c>
      <c r="B76" t="s">
        <v>16</v>
      </c>
      <c r="E76" s="53">
        <v>10</v>
      </c>
      <c r="F76" t="s">
        <v>131</v>
      </c>
      <c r="G76" s="57" t="b">
        <v>1</v>
      </c>
    </row>
    <row r="77" spans="1:7" x14ac:dyDescent="0.2">
      <c r="A77" t="s">
        <v>56</v>
      </c>
      <c r="B77" t="s">
        <v>57</v>
      </c>
      <c r="C77">
        <v>4</v>
      </c>
      <c r="D77">
        <v>8</v>
      </c>
      <c r="E77" s="53">
        <v>4</v>
      </c>
      <c r="F77" t="s">
        <v>131</v>
      </c>
      <c r="G77" s="57" t="b">
        <v>1</v>
      </c>
    </row>
    <row r="78" spans="1:7" x14ac:dyDescent="0.2">
      <c r="A78" t="s">
        <v>8</v>
      </c>
      <c r="B78" t="s">
        <v>21</v>
      </c>
      <c r="E78" s="53">
        <v>4</v>
      </c>
      <c r="F78" t="s">
        <v>131</v>
      </c>
      <c r="G78" s="57" t="b">
        <v>1</v>
      </c>
    </row>
    <row r="79" spans="1:7" x14ac:dyDescent="0.2">
      <c r="A79" t="s">
        <v>72</v>
      </c>
      <c r="B79" t="s">
        <v>17</v>
      </c>
      <c r="C79">
        <v>1</v>
      </c>
      <c r="D79">
        <v>1</v>
      </c>
      <c r="F79" t="s">
        <v>131</v>
      </c>
      <c r="G79" s="57" t="b">
        <v>1</v>
      </c>
    </row>
    <row r="80" spans="1:7" x14ac:dyDescent="0.2">
      <c r="A80" t="s">
        <v>108</v>
      </c>
      <c r="B80" t="s">
        <v>16</v>
      </c>
      <c r="C80">
        <v>1</v>
      </c>
      <c r="D80">
        <v>1</v>
      </c>
      <c r="F80" t="s">
        <v>131</v>
      </c>
      <c r="G80" s="57" t="b">
        <v>1</v>
      </c>
    </row>
    <row r="81" spans="1:7" x14ac:dyDescent="0.2">
      <c r="A81" t="s">
        <v>118</v>
      </c>
      <c r="B81" t="s">
        <v>17</v>
      </c>
      <c r="C81">
        <v>1</v>
      </c>
      <c r="D81">
        <v>2</v>
      </c>
      <c r="F81" t="s">
        <v>131</v>
      </c>
      <c r="G81" s="57" t="b">
        <v>1</v>
      </c>
    </row>
    <row r="82" spans="1:7" x14ac:dyDescent="0.2">
      <c r="A82" t="s">
        <v>117</v>
      </c>
      <c r="B82" t="s">
        <v>17</v>
      </c>
      <c r="C82">
        <v>2</v>
      </c>
      <c r="D82">
        <v>3</v>
      </c>
      <c r="E82" s="53">
        <v>1</v>
      </c>
      <c r="F82" t="s">
        <v>131</v>
      </c>
      <c r="G82" s="57" t="b">
        <v>1</v>
      </c>
    </row>
    <row r="83" spans="1:7" x14ac:dyDescent="0.2">
      <c r="A83" t="s">
        <v>110</v>
      </c>
      <c r="B83" t="s">
        <v>62</v>
      </c>
      <c r="F83" t="s">
        <v>131</v>
      </c>
      <c r="G83" s="57" t="b">
        <v>1</v>
      </c>
    </row>
    <row r="84" spans="1:7" x14ac:dyDescent="0.2">
      <c r="A84" t="s">
        <v>93</v>
      </c>
      <c r="B84" t="s">
        <v>83</v>
      </c>
      <c r="F84" t="s">
        <v>131</v>
      </c>
      <c r="G84" s="57" t="b">
        <v>1</v>
      </c>
    </row>
    <row r="85" spans="1:7" x14ac:dyDescent="0.2">
      <c r="A85" t="s">
        <v>60</v>
      </c>
      <c r="B85" t="s">
        <v>21</v>
      </c>
      <c r="F85" t="s">
        <v>131</v>
      </c>
      <c r="G85" s="57" t="b">
        <v>1</v>
      </c>
    </row>
    <row r="86" spans="1:7" x14ac:dyDescent="0.2">
      <c r="A86" t="s">
        <v>55</v>
      </c>
      <c r="B86" t="s">
        <v>25</v>
      </c>
      <c r="C86">
        <v>1</v>
      </c>
      <c r="D86">
        <v>1</v>
      </c>
      <c r="F86" t="s">
        <v>131</v>
      </c>
      <c r="G86" s="57" t="b">
        <v>1</v>
      </c>
    </row>
    <row r="87" spans="1:7" x14ac:dyDescent="0.2">
      <c r="A87" t="s">
        <v>97</v>
      </c>
      <c r="B87" t="s">
        <v>62</v>
      </c>
      <c r="F87" t="s">
        <v>131</v>
      </c>
      <c r="G87" s="57" t="b">
        <v>1</v>
      </c>
    </row>
    <row r="88" spans="1:7" x14ac:dyDescent="0.2">
      <c r="A88" t="s">
        <v>9</v>
      </c>
      <c r="B88" t="s">
        <v>17</v>
      </c>
      <c r="C88">
        <v>1</v>
      </c>
      <c r="D88">
        <v>2</v>
      </c>
      <c r="E88" s="53">
        <v>1</v>
      </c>
      <c r="F88" t="s">
        <v>131</v>
      </c>
      <c r="G88" s="57" t="b">
        <v>1</v>
      </c>
    </row>
    <row r="89" spans="1:7" x14ac:dyDescent="0.2">
      <c r="A89" t="s">
        <v>64</v>
      </c>
      <c r="B89" t="s">
        <v>62</v>
      </c>
      <c r="F89" t="s">
        <v>131</v>
      </c>
      <c r="G89" s="57" t="b">
        <v>1</v>
      </c>
    </row>
    <row r="90" spans="1:7" x14ac:dyDescent="0.2">
      <c r="A90" t="s">
        <v>116</v>
      </c>
      <c r="B90" t="s">
        <v>33</v>
      </c>
      <c r="C90">
        <v>1</v>
      </c>
      <c r="D90">
        <v>1</v>
      </c>
      <c r="F90" t="s">
        <v>131</v>
      </c>
      <c r="G90" s="57" t="b">
        <v>1</v>
      </c>
    </row>
    <row r="91" spans="1:7" x14ac:dyDescent="0.2">
      <c r="A91" t="s">
        <v>28</v>
      </c>
      <c r="B91" t="s">
        <v>51</v>
      </c>
      <c r="C91">
        <v>1</v>
      </c>
      <c r="D91">
        <v>1</v>
      </c>
      <c r="E91" s="53">
        <v>1</v>
      </c>
      <c r="F91" t="s">
        <v>131</v>
      </c>
      <c r="G91" s="57" t="b">
        <v>1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NextOrder">
                <anchor moveWithCells="1" sizeWithCells="1">
                  <from>
                    <xdr:col>7</xdr:col>
                    <xdr:colOff>457200</xdr:colOff>
                    <xdr:row>0</xdr:row>
                    <xdr:rowOff>276225</xdr:rowOff>
                  </from>
                  <to>
                    <xdr:col>9</xdr:col>
                    <xdr:colOff>638175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4D67-B41F-4D1B-9BC8-1BAEAD690ABD}">
  <sheetPr codeName="Tabelle3"/>
  <dimension ref="A1:K75"/>
  <sheetViews>
    <sheetView workbookViewId="0">
      <selection activeCell="H1" sqref="H1"/>
    </sheetView>
  </sheetViews>
  <sheetFormatPr baseColWidth="10" defaultRowHeight="12.75" x14ac:dyDescent="0.2"/>
  <cols>
    <col min="1" max="1" width="23.42578125" style="50" bestFit="1" customWidth="1"/>
    <col min="2" max="2" width="11.140625" style="50" bestFit="1" customWidth="1"/>
    <col min="3" max="3" width="2" style="50" bestFit="1" customWidth="1"/>
    <col min="4" max="4" width="6.7109375" style="50" bestFit="1" customWidth="1"/>
    <col min="5" max="6" width="6.7109375" style="50" customWidth="1"/>
    <col min="7" max="8" width="11.42578125" style="50"/>
  </cols>
  <sheetData>
    <row r="1" spans="1:11" ht="13.5" thickBot="1" x14ac:dyDescent="0.25">
      <c r="A1" s="50" t="str" cm="1">
        <f t="array" ref="A1:G75">_xlfn._xlws.SORT(_xlfn._xlws.FILTER(tblArtikel[],tblArtikel[Aktiv]))</f>
        <v>Ananas</v>
      </c>
      <c r="B1" s="50" t="str">
        <v>Stück</v>
      </c>
      <c r="C1" s="50">
        <v>2</v>
      </c>
      <c r="D1" s="50">
        <v>5</v>
      </c>
      <c r="E1" s="50">
        <v>0</v>
      </c>
      <c r="F1" s="50" t="str">
        <v>KH</v>
      </c>
      <c r="G1" s="50" t="b">
        <v>1</v>
      </c>
      <c r="H1" s="51">
        <f>ROWS(_xlfn.ANCHORARRAY(hlpA))</f>
        <v>75</v>
      </c>
    </row>
    <row r="2" spans="1:11" x14ac:dyDescent="0.2">
      <c r="A2" s="50" t="str">
        <v>Apfel (Wellant)</v>
      </c>
      <c r="B2" s="50" t="str">
        <v>Kiste</v>
      </c>
      <c r="C2" s="50">
        <v>1</v>
      </c>
      <c r="D2" s="50">
        <v>2</v>
      </c>
      <c r="E2" s="50">
        <v>1</v>
      </c>
      <c r="F2" s="50" t="str">
        <v>KH</v>
      </c>
      <c r="G2" s="50" t="b">
        <v>1</v>
      </c>
      <c r="J2" s="54" t="s">
        <v>138</v>
      </c>
      <c r="K2" s="55">
        <f ca="1">TODAY()</f>
        <v>46113</v>
      </c>
    </row>
    <row r="3" spans="1:11" x14ac:dyDescent="0.2">
      <c r="A3" s="50" t="str">
        <v>Aubergine</v>
      </c>
      <c r="B3" s="50" t="str">
        <v>Kiste</v>
      </c>
      <c r="C3" s="50">
        <v>1</v>
      </c>
      <c r="D3" s="50">
        <v>1</v>
      </c>
      <c r="E3" s="50">
        <v>0</v>
      </c>
      <c r="F3" s="50" t="str">
        <v>KH</v>
      </c>
      <c r="G3" s="50" t="b">
        <v>1</v>
      </c>
      <c r="J3" s="54" t="s">
        <v>139</v>
      </c>
      <c r="K3" s="55">
        <f ca="1">K2+1</f>
        <v>46114</v>
      </c>
    </row>
    <row r="4" spans="1:11" x14ac:dyDescent="0.2">
      <c r="A4" s="50" t="str">
        <v>Austernpilze</v>
      </c>
      <c r="B4" s="50" t="str">
        <v>Schachtel</v>
      </c>
      <c r="C4" s="50">
        <v>1</v>
      </c>
      <c r="D4" s="50">
        <v>2</v>
      </c>
      <c r="E4" s="50">
        <v>0</v>
      </c>
      <c r="F4" s="50" t="str">
        <v>KH</v>
      </c>
      <c r="G4" s="50" t="b">
        <v>1</v>
      </c>
    </row>
    <row r="5" spans="1:11" x14ac:dyDescent="0.2">
      <c r="A5" s="50" t="str">
        <v>Avocado</v>
      </c>
      <c r="B5" s="50" t="str">
        <v>Stück</v>
      </c>
      <c r="C5" s="50">
        <v>8</v>
      </c>
      <c r="D5" s="50">
        <v>16</v>
      </c>
      <c r="E5" s="50">
        <v>0</v>
      </c>
      <c r="F5" s="50" t="str">
        <v>KH</v>
      </c>
      <c r="G5" s="50" t="b">
        <v>1</v>
      </c>
    </row>
    <row r="6" spans="1:11" x14ac:dyDescent="0.2">
      <c r="A6" s="50" t="str">
        <v>Bananen (schöne)</v>
      </c>
      <c r="B6" s="50" t="str">
        <v>Bund</v>
      </c>
      <c r="C6" s="50">
        <v>6</v>
      </c>
      <c r="D6" s="50">
        <v>10</v>
      </c>
      <c r="E6" s="50">
        <v>0</v>
      </c>
      <c r="F6" s="50" t="str">
        <v>KH</v>
      </c>
      <c r="G6" s="50" t="b">
        <v>1</v>
      </c>
    </row>
    <row r="7" spans="1:11" x14ac:dyDescent="0.2">
      <c r="A7" s="50" t="str">
        <v>Basilikum</v>
      </c>
      <c r="B7" s="50" t="str">
        <v>Bund</v>
      </c>
      <c r="C7" s="50">
        <v>2</v>
      </c>
      <c r="D7" s="50">
        <v>5</v>
      </c>
      <c r="E7" s="50">
        <v>0</v>
      </c>
      <c r="F7" s="50" t="str">
        <v>KH</v>
      </c>
      <c r="G7" s="50" t="b">
        <v>1</v>
      </c>
    </row>
    <row r="8" spans="1:11" x14ac:dyDescent="0.2">
      <c r="A8" s="50" t="str">
        <v>Bimi Brokoli</v>
      </c>
      <c r="B8" s="50" t="str">
        <v>Paket</v>
      </c>
      <c r="C8" s="50">
        <v>0</v>
      </c>
      <c r="D8" s="50">
        <v>0</v>
      </c>
      <c r="E8" s="50">
        <v>0</v>
      </c>
      <c r="F8" s="50" t="str">
        <v>KH</v>
      </c>
      <c r="G8" s="50" t="b">
        <v>1</v>
      </c>
    </row>
    <row r="9" spans="1:11" x14ac:dyDescent="0.2">
      <c r="A9" s="50" t="str">
        <v>Birnen</v>
      </c>
      <c r="B9" s="50" t="str">
        <v>Stück</v>
      </c>
      <c r="C9" s="50">
        <v>0</v>
      </c>
      <c r="D9" s="50">
        <v>0</v>
      </c>
      <c r="E9" s="50">
        <v>0</v>
      </c>
      <c r="F9" s="50" t="str">
        <v>KH</v>
      </c>
      <c r="G9" s="50" t="b">
        <v>1</v>
      </c>
    </row>
    <row r="10" spans="1:11" x14ac:dyDescent="0.2">
      <c r="A10" s="50" t="str">
        <v>Blaubeeren</v>
      </c>
      <c r="B10" s="50" t="str">
        <v>Schachtel</v>
      </c>
      <c r="C10" s="50">
        <v>3</v>
      </c>
      <c r="D10" s="50">
        <v>6</v>
      </c>
      <c r="E10" s="50">
        <v>0</v>
      </c>
      <c r="F10" s="50" t="str">
        <v>KH</v>
      </c>
      <c r="G10" s="50" t="b">
        <v>1</v>
      </c>
    </row>
    <row r="11" spans="1:11" x14ac:dyDescent="0.2">
      <c r="A11" s="50" t="str">
        <v>Blumenkohl</v>
      </c>
      <c r="B11" s="50" t="str">
        <v>Stück</v>
      </c>
      <c r="C11" s="50">
        <v>0</v>
      </c>
      <c r="D11" s="50">
        <v>0</v>
      </c>
      <c r="E11" s="50">
        <v>0</v>
      </c>
      <c r="F11" s="50" t="str">
        <v>KH</v>
      </c>
      <c r="G11" s="50" t="b">
        <v>1</v>
      </c>
    </row>
    <row r="12" spans="1:11" x14ac:dyDescent="0.2">
      <c r="A12" s="50" t="str">
        <v>Brokkoli</v>
      </c>
      <c r="B12" s="50" t="str">
        <v>Stück</v>
      </c>
      <c r="C12" s="50">
        <v>0</v>
      </c>
      <c r="D12" s="50">
        <v>0</v>
      </c>
      <c r="E12" s="50">
        <v>4</v>
      </c>
      <c r="F12" s="50" t="str">
        <v>KH</v>
      </c>
      <c r="G12" s="50" t="b">
        <v>1</v>
      </c>
    </row>
    <row r="13" spans="1:11" x14ac:dyDescent="0.2">
      <c r="A13" s="50" t="str">
        <v>Champignons</v>
      </c>
      <c r="B13" s="50" t="str">
        <v>Kiste</v>
      </c>
      <c r="C13" s="50">
        <v>1</v>
      </c>
      <c r="D13" s="50">
        <v>2</v>
      </c>
      <c r="E13" s="50">
        <v>0</v>
      </c>
      <c r="F13" s="50" t="str">
        <v>KH</v>
      </c>
      <c r="G13" s="50" t="b">
        <v>1</v>
      </c>
    </row>
    <row r="14" spans="1:11" x14ac:dyDescent="0.2">
      <c r="A14" s="50" t="str">
        <v>Chicoree</v>
      </c>
      <c r="B14" s="50" t="str">
        <v>kl.Kiste</v>
      </c>
      <c r="C14" s="50">
        <v>0</v>
      </c>
      <c r="D14" s="50">
        <v>0</v>
      </c>
      <c r="E14" s="50">
        <v>0</v>
      </c>
      <c r="F14" s="50" t="str">
        <v>KH</v>
      </c>
      <c r="G14" s="50" t="b">
        <v>1</v>
      </c>
    </row>
    <row r="15" spans="1:11" x14ac:dyDescent="0.2">
      <c r="A15" s="50" t="str">
        <v>Chilischote</v>
      </c>
      <c r="B15" s="50" t="str">
        <v>Gramm</v>
      </c>
      <c r="C15" s="50">
        <v>0</v>
      </c>
      <c r="D15" s="50">
        <v>0</v>
      </c>
      <c r="E15" s="50">
        <v>0</v>
      </c>
      <c r="F15" s="50" t="str">
        <v>KH</v>
      </c>
      <c r="G15" s="50" t="b">
        <v>1</v>
      </c>
    </row>
    <row r="16" spans="1:11" x14ac:dyDescent="0.2">
      <c r="A16" s="50" t="str">
        <v>Chinakohl</v>
      </c>
      <c r="B16" s="50" t="str">
        <v>Kopf</v>
      </c>
      <c r="C16" s="50">
        <v>0</v>
      </c>
      <c r="D16" s="50">
        <v>0</v>
      </c>
      <c r="E16" s="50">
        <v>0</v>
      </c>
      <c r="F16" s="50" t="str">
        <v>KH</v>
      </c>
      <c r="G16" s="50" t="b">
        <v>1</v>
      </c>
    </row>
    <row r="17" spans="1:7" x14ac:dyDescent="0.2">
      <c r="A17" s="50" t="str">
        <v>Dill</v>
      </c>
      <c r="B17" s="50" t="str">
        <v>Bund</v>
      </c>
      <c r="C17" s="50">
        <v>1</v>
      </c>
      <c r="D17" s="50">
        <v>1</v>
      </c>
      <c r="E17" s="50">
        <v>1</v>
      </c>
      <c r="F17" s="50" t="str">
        <v>KH</v>
      </c>
      <c r="G17" s="50" t="b">
        <v>1</v>
      </c>
    </row>
    <row r="18" spans="1:7" x14ac:dyDescent="0.2">
      <c r="A18" s="50" t="str">
        <v>Eisbergsalat</v>
      </c>
      <c r="B18" s="50" t="str">
        <v>Kiste</v>
      </c>
      <c r="C18" s="50">
        <v>0</v>
      </c>
      <c r="D18" s="50">
        <v>0</v>
      </c>
      <c r="E18" s="50">
        <v>0</v>
      </c>
      <c r="F18" s="50" t="str">
        <v>KH</v>
      </c>
      <c r="G18" s="50" t="b">
        <v>1</v>
      </c>
    </row>
    <row r="19" spans="1:7" x14ac:dyDescent="0.2">
      <c r="A19" s="50" t="str">
        <v>Erbsensprossen</v>
      </c>
      <c r="B19" s="50" t="str">
        <v xml:space="preserve">Paket </v>
      </c>
      <c r="C19" s="50">
        <v>2</v>
      </c>
      <c r="D19" s="50">
        <v>5</v>
      </c>
      <c r="E19" s="50">
        <v>2</v>
      </c>
      <c r="F19" s="50" t="str">
        <v>KH</v>
      </c>
      <c r="G19" s="50" t="b">
        <v>1</v>
      </c>
    </row>
    <row r="20" spans="1:7" x14ac:dyDescent="0.2">
      <c r="A20" s="50" t="str">
        <v>Estragon</v>
      </c>
      <c r="B20" s="50" t="str">
        <v>Bund</v>
      </c>
      <c r="C20" s="50">
        <v>0</v>
      </c>
      <c r="D20" s="50">
        <v>1</v>
      </c>
      <c r="E20" s="50">
        <v>0</v>
      </c>
      <c r="F20" s="50" t="str">
        <v>KH</v>
      </c>
      <c r="G20" s="50" t="b">
        <v>1</v>
      </c>
    </row>
    <row r="21" spans="1:7" x14ac:dyDescent="0.2">
      <c r="A21" s="50" t="str">
        <v>Feigen (frisch)</v>
      </c>
      <c r="B21" s="50" t="str">
        <v>Stück</v>
      </c>
      <c r="C21" s="50">
        <v>0</v>
      </c>
      <c r="D21" s="50">
        <v>0</v>
      </c>
      <c r="E21" s="50">
        <v>0</v>
      </c>
      <c r="F21" s="50" t="str">
        <v>KH</v>
      </c>
      <c r="G21" s="50" t="b">
        <v>1</v>
      </c>
    </row>
    <row r="22" spans="1:7" x14ac:dyDescent="0.2">
      <c r="A22" s="50" t="str">
        <v xml:space="preserve">Feldsalat </v>
      </c>
      <c r="B22" s="50" t="str">
        <v xml:space="preserve">Paket (kl.) </v>
      </c>
      <c r="C22" s="50">
        <v>0</v>
      </c>
      <c r="D22" s="50">
        <v>0</v>
      </c>
      <c r="E22" s="50">
        <v>0</v>
      </c>
      <c r="F22" s="50" t="str">
        <v>KH</v>
      </c>
      <c r="G22" s="50" t="b">
        <v>1</v>
      </c>
    </row>
    <row r="23" spans="1:7" x14ac:dyDescent="0.2">
      <c r="A23" s="50" t="str">
        <v>Fenchel</v>
      </c>
      <c r="B23" s="50" t="str">
        <v>KG</v>
      </c>
      <c r="C23" s="50">
        <v>0</v>
      </c>
      <c r="D23" s="50">
        <v>0</v>
      </c>
      <c r="E23" s="50">
        <v>0</v>
      </c>
      <c r="F23" s="50" t="str">
        <v>KH</v>
      </c>
      <c r="G23" s="50" t="b">
        <v>1</v>
      </c>
    </row>
    <row r="24" spans="1:7" x14ac:dyDescent="0.2">
      <c r="A24" s="50" t="str">
        <v>Frisee-Salat</v>
      </c>
      <c r="B24" s="50" t="str">
        <v>1 Kopf</v>
      </c>
      <c r="C24" s="50">
        <v>0</v>
      </c>
      <c r="D24" s="50">
        <v>0</v>
      </c>
      <c r="E24" s="50">
        <v>0</v>
      </c>
      <c r="F24" s="50" t="str">
        <v>KH</v>
      </c>
      <c r="G24" s="50" t="b">
        <v>1</v>
      </c>
    </row>
    <row r="25" spans="1:7" x14ac:dyDescent="0.2">
      <c r="A25" s="50" t="str">
        <v>Frühlingszwiebeln</v>
      </c>
      <c r="B25" s="50" t="str">
        <v>Kiste</v>
      </c>
      <c r="C25" s="50">
        <v>1</v>
      </c>
      <c r="D25" s="50">
        <v>1</v>
      </c>
      <c r="E25" s="50">
        <v>0</v>
      </c>
      <c r="F25" s="50" t="str">
        <v>KH</v>
      </c>
      <c r="G25" s="50" t="b">
        <v>1</v>
      </c>
    </row>
    <row r="26" spans="1:7" x14ac:dyDescent="0.2">
      <c r="A26" s="50" t="str">
        <v>Gartenkresse</v>
      </c>
      <c r="B26" s="50" t="str">
        <v>Kiste</v>
      </c>
      <c r="C26" s="50">
        <v>1</v>
      </c>
      <c r="D26" s="50">
        <v>2</v>
      </c>
      <c r="E26" s="50">
        <v>2</v>
      </c>
      <c r="F26" s="50" t="str">
        <v>KH</v>
      </c>
      <c r="G26" s="50" t="b">
        <v>1</v>
      </c>
    </row>
    <row r="27" spans="1:7" x14ac:dyDescent="0.2">
      <c r="A27" s="50" t="str">
        <v>Gurken</v>
      </c>
      <c r="B27" s="50" t="str">
        <v>kl. Kiste</v>
      </c>
      <c r="C27" s="50">
        <v>2</v>
      </c>
      <c r="D27" s="50">
        <v>3</v>
      </c>
      <c r="E27" s="50">
        <v>0</v>
      </c>
      <c r="F27" s="50" t="str">
        <v>KH</v>
      </c>
      <c r="G27" s="50" t="b">
        <v>1</v>
      </c>
    </row>
    <row r="28" spans="1:7" x14ac:dyDescent="0.2">
      <c r="A28" s="50" t="str">
        <v>Himbeeren</v>
      </c>
      <c r="B28" s="50" t="str">
        <v>Schachtel</v>
      </c>
      <c r="C28" s="50">
        <v>3</v>
      </c>
      <c r="D28" s="50">
        <v>6</v>
      </c>
      <c r="E28" s="50">
        <v>0</v>
      </c>
      <c r="F28" s="50" t="str">
        <v>KH</v>
      </c>
      <c r="G28" s="50" t="b">
        <v>1</v>
      </c>
    </row>
    <row r="29" spans="1:7" x14ac:dyDescent="0.2">
      <c r="A29" s="50" t="str">
        <v>Honig Melone</v>
      </c>
      <c r="B29" s="50" t="str">
        <v>Stück</v>
      </c>
      <c r="C29" s="50">
        <v>0</v>
      </c>
      <c r="D29" s="50">
        <v>0</v>
      </c>
      <c r="E29" s="50">
        <v>0</v>
      </c>
      <c r="F29" s="50" t="str">
        <v>KH</v>
      </c>
      <c r="G29" s="50" t="b">
        <v>1</v>
      </c>
    </row>
    <row r="30" spans="1:7" x14ac:dyDescent="0.2">
      <c r="A30" s="50" t="str">
        <v>Ingwer frisch</v>
      </c>
      <c r="B30" s="50" t="str">
        <v>kg</v>
      </c>
      <c r="C30" s="50">
        <v>0.5</v>
      </c>
      <c r="D30" s="50">
        <v>1</v>
      </c>
      <c r="E30" s="50">
        <v>0</v>
      </c>
      <c r="F30" s="50" t="str">
        <v>KH</v>
      </c>
      <c r="G30" s="50" t="b">
        <v>1</v>
      </c>
    </row>
    <row r="31" spans="1:7" x14ac:dyDescent="0.2">
      <c r="A31" s="50" t="str">
        <v>Karotten / Möhren</v>
      </c>
      <c r="B31" s="50" t="str">
        <v>Kiste</v>
      </c>
      <c r="C31" s="50">
        <v>1</v>
      </c>
      <c r="D31" s="50">
        <v>1</v>
      </c>
      <c r="E31" s="50">
        <v>1</v>
      </c>
      <c r="F31" s="50" t="str">
        <v>KH</v>
      </c>
      <c r="G31" s="50" t="b">
        <v>1</v>
      </c>
    </row>
    <row r="32" spans="1:7" x14ac:dyDescent="0.2">
      <c r="A32" s="50" t="str">
        <v>Kartoffeln, grosse</v>
      </c>
      <c r="B32" s="50" t="str">
        <v>10 Kg</v>
      </c>
      <c r="C32" s="50">
        <v>1</v>
      </c>
      <c r="D32" s="50">
        <v>1</v>
      </c>
      <c r="E32" s="50">
        <v>0</v>
      </c>
      <c r="F32" s="50" t="str">
        <v>KH</v>
      </c>
      <c r="G32" s="50" t="b">
        <v>1</v>
      </c>
    </row>
    <row r="33" spans="1:7" x14ac:dyDescent="0.2">
      <c r="A33" s="50" t="str">
        <v>Kartoffeln, neue</v>
      </c>
      <c r="B33" s="50" t="str">
        <v>Kiste</v>
      </c>
      <c r="C33" s="50">
        <v>1</v>
      </c>
      <c r="D33" s="50">
        <v>1</v>
      </c>
      <c r="E33" s="50">
        <v>0</v>
      </c>
      <c r="F33" s="50" t="str">
        <v>KH</v>
      </c>
      <c r="G33" s="50" t="b">
        <v>1</v>
      </c>
    </row>
    <row r="34" spans="1:7" x14ac:dyDescent="0.2">
      <c r="A34" s="50" t="str">
        <v>Kerbel</v>
      </c>
      <c r="B34" s="50" t="str">
        <v>1 Bund</v>
      </c>
      <c r="C34" s="50">
        <v>0</v>
      </c>
      <c r="D34" s="50">
        <v>0</v>
      </c>
      <c r="E34" s="50">
        <v>0</v>
      </c>
      <c r="F34" s="50" t="str">
        <v>KH</v>
      </c>
      <c r="G34" s="50" t="b">
        <v>1</v>
      </c>
    </row>
    <row r="35" spans="1:7" x14ac:dyDescent="0.2">
      <c r="A35" s="50" t="str">
        <v>Kohlrabi</v>
      </c>
      <c r="B35" s="50" t="str">
        <v>Stück</v>
      </c>
      <c r="C35" s="50">
        <v>0</v>
      </c>
      <c r="D35" s="50">
        <v>0</v>
      </c>
      <c r="E35" s="50">
        <v>8</v>
      </c>
      <c r="F35" s="50" t="str">
        <v>KH</v>
      </c>
      <c r="G35" s="50" t="b">
        <v>1</v>
      </c>
    </row>
    <row r="36" spans="1:7" x14ac:dyDescent="0.2">
      <c r="A36" s="50" t="str">
        <v>Koriander</v>
      </c>
      <c r="B36" s="50" t="str">
        <v>Bund</v>
      </c>
      <c r="C36" s="50">
        <v>0</v>
      </c>
      <c r="D36" s="50">
        <v>0</v>
      </c>
      <c r="E36" s="50">
        <v>0</v>
      </c>
      <c r="F36" s="50" t="str">
        <v>KH</v>
      </c>
      <c r="G36" s="50" t="b">
        <v>1</v>
      </c>
    </row>
    <row r="37" spans="1:7" x14ac:dyDescent="0.2">
      <c r="A37" s="50" t="str">
        <v>Kräutersalat</v>
      </c>
      <c r="B37" s="50" t="str">
        <v>Beutel</v>
      </c>
      <c r="C37" s="50">
        <v>16</v>
      </c>
      <c r="D37" s="50">
        <v>32</v>
      </c>
      <c r="E37" s="50">
        <v>12</v>
      </c>
      <c r="F37" s="50" t="str">
        <v>KH</v>
      </c>
      <c r="G37" s="50" t="b">
        <v>1</v>
      </c>
    </row>
    <row r="38" spans="1:7" x14ac:dyDescent="0.2">
      <c r="A38" s="50" t="str">
        <v>Kräuterseitlinge</v>
      </c>
      <c r="B38" s="50" t="str">
        <v>Paket</v>
      </c>
      <c r="C38" s="50">
        <v>1</v>
      </c>
      <c r="D38" s="50">
        <v>1</v>
      </c>
      <c r="E38" s="50">
        <v>0</v>
      </c>
      <c r="F38" s="50" t="str">
        <v>KH</v>
      </c>
      <c r="G38" s="50" t="b">
        <v>1</v>
      </c>
    </row>
    <row r="39" spans="1:7" x14ac:dyDescent="0.2">
      <c r="A39" s="50" t="str">
        <v>Kresse Mix mit Shiso</v>
      </c>
      <c r="B39" s="50" t="str">
        <v>1 Kiste</v>
      </c>
      <c r="C39" s="50">
        <v>0</v>
      </c>
      <c r="D39" s="50">
        <v>0</v>
      </c>
      <c r="E39" s="50">
        <v>0</v>
      </c>
      <c r="F39" s="50" t="str">
        <v>KH</v>
      </c>
      <c r="G39" s="50" t="b">
        <v>1</v>
      </c>
    </row>
    <row r="40" spans="1:7" x14ac:dyDescent="0.2">
      <c r="A40" s="50" t="str">
        <v>Lauch</v>
      </c>
      <c r="B40" s="50" t="str">
        <v>Stange</v>
      </c>
      <c r="C40" s="50">
        <v>0</v>
      </c>
      <c r="D40" s="50">
        <v>0</v>
      </c>
      <c r="E40" s="50">
        <v>8</v>
      </c>
      <c r="F40" s="50" t="str">
        <v>KH</v>
      </c>
      <c r="G40" s="50" t="b">
        <v>1</v>
      </c>
    </row>
    <row r="41" spans="1:7" x14ac:dyDescent="0.2">
      <c r="A41" s="50" t="str">
        <v>Limonen</v>
      </c>
      <c r="B41" s="50" t="str">
        <v>Kiste</v>
      </c>
      <c r="C41" s="50">
        <v>0</v>
      </c>
      <c r="D41" s="50">
        <v>0</v>
      </c>
      <c r="E41" s="50">
        <v>0</v>
      </c>
      <c r="F41" s="50" t="str">
        <v>KH</v>
      </c>
      <c r="G41" s="50" t="b">
        <v>1</v>
      </c>
    </row>
    <row r="42" spans="1:7" x14ac:dyDescent="0.2">
      <c r="A42" s="50" t="str">
        <v>Minze</v>
      </c>
      <c r="B42" s="50" t="str">
        <v>Bund</v>
      </c>
      <c r="C42" s="50">
        <v>2</v>
      </c>
      <c r="D42" s="50">
        <v>5</v>
      </c>
      <c r="E42" s="50">
        <v>0</v>
      </c>
      <c r="F42" s="50" t="str">
        <v>KH</v>
      </c>
      <c r="G42" s="50" t="b">
        <v>1</v>
      </c>
    </row>
    <row r="43" spans="1:7" x14ac:dyDescent="0.2">
      <c r="A43" s="50" t="str">
        <v>Orangen (schöne)</v>
      </c>
      <c r="B43" s="50" t="str">
        <v>Große Kiste</v>
      </c>
      <c r="C43" s="50">
        <v>1</v>
      </c>
      <c r="D43" s="50">
        <v>2</v>
      </c>
      <c r="E43" s="50">
        <v>0</v>
      </c>
      <c r="F43" s="50" t="str">
        <v>KH</v>
      </c>
      <c r="G43" s="50" t="b">
        <v>1</v>
      </c>
    </row>
    <row r="44" spans="1:7" x14ac:dyDescent="0.2">
      <c r="A44" s="50" t="str">
        <v>Pak choi, Baby</v>
      </c>
      <c r="B44" s="50" t="str">
        <v>Stücke</v>
      </c>
      <c r="C44" s="50">
        <v>0</v>
      </c>
      <c r="D44" s="50">
        <v>0</v>
      </c>
      <c r="E44" s="50">
        <v>0</v>
      </c>
      <c r="F44" s="50" t="str">
        <v>KH</v>
      </c>
      <c r="G44" s="50" t="b">
        <v>1</v>
      </c>
    </row>
    <row r="45" spans="1:7" x14ac:dyDescent="0.2">
      <c r="A45" s="50" t="str">
        <v>Paprika Mix</v>
      </c>
      <c r="B45" s="50" t="str">
        <v>Kiste</v>
      </c>
      <c r="C45" s="50">
        <v>1</v>
      </c>
      <c r="D45" s="50">
        <v>2</v>
      </c>
      <c r="E45" s="50">
        <v>0</v>
      </c>
      <c r="F45" s="50" t="str">
        <v>KH</v>
      </c>
      <c r="G45" s="50" t="b">
        <v>1</v>
      </c>
    </row>
    <row r="46" spans="1:7" x14ac:dyDescent="0.2">
      <c r="A46" s="50" t="str">
        <v>Petersilie, glatt</v>
      </c>
      <c r="B46" s="50" t="str">
        <v xml:space="preserve">Bund </v>
      </c>
      <c r="C46" s="50">
        <v>0</v>
      </c>
      <c r="D46" s="50">
        <v>0</v>
      </c>
      <c r="E46" s="50">
        <v>0</v>
      </c>
      <c r="F46" s="50" t="str">
        <v>KH</v>
      </c>
      <c r="G46" s="50" t="b">
        <v>1</v>
      </c>
    </row>
    <row r="47" spans="1:7" x14ac:dyDescent="0.2">
      <c r="A47" s="50" t="str">
        <v>Petersilie, krause</v>
      </c>
      <c r="B47" s="50" t="str">
        <v>Bund</v>
      </c>
      <c r="C47" s="50">
        <v>1</v>
      </c>
      <c r="D47" s="50">
        <v>1</v>
      </c>
      <c r="E47" s="50">
        <v>0</v>
      </c>
      <c r="F47" s="50" t="str">
        <v>KH</v>
      </c>
      <c r="G47" s="50" t="b">
        <v>1</v>
      </c>
    </row>
    <row r="48" spans="1:7" x14ac:dyDescent="0.2">
      <c r="A48" s="50" t="str">
        <v>Physalis</v>
      </c>
      <c r="B48" s="50" t="str">
        <v>Schachtel</v>
      </c>
      <c r="C48" s="50">
        <v>2</v>
      </c>
      <c r="D48" s="50">
        <v>4</v>
      </c>
      <c r="E48" s="50">
        <v>0</v>
      </c>
      <c r="F48" s="50" t="str">
        <v>KH</v>
      </c>
      <c r="G48" s="50" t="b">
        <v>1</v>
      </c>
    </row>
    <row r="49" spans="1:7" x14ac:dyDescent="0.2">
      <c r="A49" s="50" t="str">
        <v>Radicchio</v>
      </c>
      <c r="B49" s="50" t="str">
        <v>Stück</v>
      </c>
      <c r="C49" s="50">
        <v>0</v>
      </c>
      <c r="D49" s="50">
        <v>0</v>
      </c>
      <c r="E49" s="50">
        <v>0</v>
      </c>
      <c r="F49" s="50" t="str">
        <v>KH</v>
      </c>
      <c r="G49" s="50" t="b">
        <v>1</v>
      </c>
    </row>
    <row r="50" spans="1:7" x14ac:dyDescent="0.2">
      <c r="A50" s="50" t="str">
        <v>Radieschen</v>
      </c>
      <c r="B50" s="50" t="str">
        <v>Bund</v>
      </c>
      <c r="C50" s="50">
        <v>0</v>
      </c>
      <c r="D50" s="50">
        <v>0</v>
      </c>
      <c r="E50" s="50">
        <v>0</v>
      </c>
      <c r="F50" s="50" t="str">
        <v>KH</v>
      </c>
      <c r="G50" s="50" t="b">
        <v>1</v>
      </c>
    </row>
    <row r="51" spans="1:7" x14ac:dyDescent="0.2">
      <c r="A51" s="50" t="str">
        <v>Rosmarin</v>
      </c>
      <c r="B51" s="50" t="str">
        <v>Bund</v>
      </c>
      <c r="C51" s="50">
        <v>1</v>
      </c>
      <c r="D51" s="50">
        <v>2</v>
      </c>
      <c r="E51" s="50">
        <v>1</v>
      </c>
      <c r="F51" s="50" t="str">
        <v>KH</v>
      </c>
      <c r="G51" s="50" t="b">
        <v>1</v>
      </c>
    </row>
    <row r="52" spans="1:7" x14ac:dyDescent="0.2">
      <c r="A52" s="50" t="str">
        <v>Rotkohl vorgeschnitten</v>
      </c>
      <c r="B52" s="50" t="str">
        <v>Beutel</v>
      </c>
      <c r="C52" s="50">
        <v>0</v>
      </c>
      <c r="D52" s="50">
        <v>0</v>
      </c>
      <c r="E52" s="50">
        <v>0</v>
      </c>
      <c r="F52" s="50" t="str">
        <v>KH</v>
      </c>
      <c r="G52" s="50" t="b">
        <v>1</v>
      </c>
    </row>
    <row r="53" spans="1:7" x14ac:dyDescent="0.2">
      <c r="A53" s="50" t="str">
        <v>Ruccola (Fino Fresco)</v>
      </c>
      <c r="B53" s="50" t="str">
        <v>Paket (kl.)</v>
      </c>
      <c r="C53" s="50">
        <v>8</v>
      </c>
      <c r="D53" s="50">
        <v>16</v>
      </c>
      <c r="E53" s="50">
        <v>8</v>
      </c>
      <c r="F53" s="50" t="str">
        <v>KH</v>
      </c>
      <c r="G53" s="50" t="b">
        <v>1</v>
      </c>
    </row>
    <row r="54" spans="1:7" x14ac:dyDescent="0.2">
      <c r="A54" s="50" t="str">
        <v>Salbei</v>
      </c>
      <c r="B54" s="50" t="str">
        <v>Bund</v>
      </c>
      <c r="C54" s="50">
        <v>0</v>
      </c>
      <c r="D54" s="50">
        <v>0</v>
      </c>
      <c r="E54" s="50">
        <v>0</v>
      </c>
      <c r="F54" s="50" t="str">
        <v>KH</v>
      </c>
      <c r="G54" s="50" t="b">
        <v>1</v>
      </c>
    </row>
    <row r="55" spans="1:7" x14ac:dyDescent="0.2">
      <c r="A55" s="50" t="str">
        <v>Schalotten</v>
      </c>
      <c r="B55" s="50" t="str">
        <v>5kg Sack</v>
      </c>
      <c r="C55" s="50">
        <v>0</v>
      </c>
      <c r="D55" s="50">
        <v>0</v>
      </c>
      <c r="E55" s="50">
        <v>1</v>
      </c>
      <c r="F55" s="50" t="str">
        <v>KH</v>
      </c>
      <c r="G55" s="50" t="b">
        <v>1</v>
      </c>
    </row>
    <row r="56" spans="1:7" x14ac:dyDescent="0.2">
      <c r="A56" s="50" t="str">
        <v>Schnittlauch</v>
      </c>
      <c r="B56" s="50" t="str">
        <v>gr. Bund</v>
      </c>
      <c r="C56" s="50">
        <v>1</v>
      </c>
      <c r="D56" s="50">
        <v>2</v>
      </c>
      <c r="E56" s="50">
        <v>1</v>
      </c>
      <c r="F56" s="50" t="str">
        <v>KH</v>
      </c>
      <c r="G56" s="50" t="b">
        <v>1</v>
      </c>
    </row>
    <row r="57" spans="1:7" x14ac:dyDescent="0.2">
      <c r="A57" s="50" t="str">
        <v>Sellerie, Knollen-</v>
      </c>
      <c r="B57" s="50" t="str">
        <v>Stück</v>
      </c>
      <c r="C57" s="50">
        <v>3</v>
      </c>
      <c r="D57" s="50">
        <v>5</v>
      </c>
      <c r="E57" s="50">
        <v>2</v>
      </c>
      <c r="F57" s="50" t="str">
        <v>KH</v>
      </c>
      <c r="G57" s="50" t="b">
        <v>1</v>
      </c>
    </row>
    <row r="58" spans="1:7" x14ac:dyDescent="0.2">
      <c r="A58" s="50" t="str">
        <v>Sellerie, Stauden-</v>
      </c>
      <c r="B58" s="50" t="str">
        <v>Stück</v>
      </c>
      <c r="C58" s="50">
        <v>2</v>
      </c>
      <c r="D58" s="50">
        <v>3</v>
      </c>
      <c r="E58" s="50">
        <v>2</v>
      </c>
      <c r="F58" s="50" t="str">
        <v>KH</v>
      </c>
      <c r="G58" s="50" t="b">
        <v>1</v>
      </c>
    </row>
    <row r="59" spans="1:7" x14ac:dyDescent="0.2">
      <c r="A59" s="50" t="str">
        <v>Sojasprossen</v>
      </c>
      <c r="B59" s="50" t="str">
        <v>kg</v>
      </c>
      <c r="C59" s="50">
        <v>0</v>
      </c>
      <c r="D59" s="50">
        <v>0</v>
      </c>
      <c r="E59" s="50">
        <v>0</v>
      </c>
      <c r="F59" s="50" t="str">
        <v>KH</v>
      </c>
      <c r="G59" s="50" t="b">
        <v>1</v>
      </c>
    </row>
    <row r="60" spans="1:7" x14ac:dyDescent="0.2">
      <c r="A60" s="50" t="str">
        <v>Spargel, grün</v>
      </c>
      <c r="B60" s="50" t="str">
        <v>Bund</v>
      </c>
      <c r="C60" s="50">
        <v>0</v>
      </c>
      <c r="D60" s="50">
        <v>0</v>
      </c>
      <c r="E60" s="50">
        <v>10</v>
      </c>
      <c r="F60" s="50" t="str">
        <v>KH</v>
      </c>
      <c r="G60" s="50" t="b">
        <v>1</v>
      </c>
    </row>
    <row r="61" spans="1:7" x14ac:dyDescent="0.2">
      <c r="A61" s="50" t="str">
        <v>Spinat (schöner,300g)</v>
      </c>
      <c r="B61" s="50" t="str">
        <v>Beutel</v>
      </c>
      <c r="C61" s="50">
        <v>4</v>
      </c>
      <c r="D61" s="50">
        <v>8</v>
      </c>
      <c r="E61" s="50">
        <v>4</v>
      </c>
      <c r="F61" s="50" t="str">
        <v>KH</v>
      </c>
      <c r="G61" s="50" t="b">
        <v>1</v>
      </c>
    </row>
    <row r="62" spans="1:7" x14ac:dyDescent="0.2">
      <c r="A62" s="50" t="str">
        <v>Spitzkohl</v>
      </c>
      <c r="B62" s="50" t="str">
        <v>Stück</v>
      </c>
      <c r="C62" s="50">
        <v>0</v>
      </c>
      <c r="D62" s="50">
        <v>0</v>
      </c>
      <c r="E62" s="50">
        <v>4</v>
      </c>
      <c r="F62" s="50" t="str">
        <v>KH</v>
      </c>
      <c r="G62" s="50" t="b">
        <v>1</v>
      </c>
    </row>
    <row r="63" spans="1:7" x14ac:dyDescent="0.2">
      <c r="A63" s="50" t="str">
        <v>Süsskartoffeln</v>
      </c>
      <c r="B63" s="50" t="str">
        <v>Kiste</v>
      </c>
      <c r="C63" s="50">
        <v>1</v>
      </c>
      <c r="D63" s="50">
        <v>1</v>
      </c>
      <c r="E63" s="50">
        <v>0</v>
      </c>
      <c r="F63" s="50" t="str">
        <v>KH</v>
      </c>
      <c r="G63" s="50" t="b">
        <v>1</v>
      </c>
    </row>
    <row r="64" spans="1:7" x14ac:dyDescent="0.2">
      <c r="A64" s="50" t="str">
        <v>Thymian</v>
      </c>
      <c r="B64" s="50" t="str">
        <v>Bund</v>
      </c>
      <c r="C64" s="50">
        <v>1</v>
      </c>
      <c r="D64" s="50">
        <v>1</v>
      </c>
      <c r="E64" s="50">
        <v>0</v>
      </c>
      <c r="F64" s="50" t="str">
        <v>KH</v>
      </c>
      <c r="G64" s="50" t="b">
        <v>1</v>
      </c>
    </row>
    <row r="65" spans="1:7" x14ac:dyDescent="0.2">
      <c r="A65" s="50" t="str">
        <v>Tomaten, Cocktail-</v>
      </c>
      <c r="B65" s="50" t="str">
        <v>Kiste</v>
      </c>
      <c r="C65" s="50">
        <v>1</v>
      </c>
      <c r="D65" s="50">
        <v>2</v>
      </c>
      <c r="E65" s="50">
        <v>0</v>
      </c>
      <c r="F65" s="50" t="str">
        <v>KH</v>
      </c>
      <c r="G65" s="50" t="b">
        <v>1</v>
      </c>
    </row>
    <row r="66" spans="1:7" x14ac:dyDescent="0.2">
      <c r="A66" s="50" t="str">
        <v>Tomaten, Strauch-/Rispen-</v>
      </c>
      <c r="B66" s="50" t="str">
        <v>Kiste</v>
      </c>
      <c r="C66" s="50">
        <v>2</v>
      </c>
      <c r="D66" s="50">
        <v>3</v>
      </c>
      <c r="E66" s="50">
        <v>1</v>
      </c>
      <c r="F66" s="50" t="str">
        <v>KH</v>
      </c>
      <c r="G66" s="50" t="b">
        <v>1</v>
      </c>
    </row>
    <row r="67" spans="1:7" x14ac:dyDescent="0.2">
      <c r="A67" s="50" t="str">
        <v>Tomatenwürfel</v>
      </c>
      <c r="B67" s="50" t="str">
        <v>Paket</v>
      </c>
      <c r="C67" s="50">
        <v>0</v>
      </c>
      <c r="D67" s="50">
        <v>0</v>
      </c>
      <c r="E67" s="50">
        <v>0</v>
      </c>
      <c r="F67" s="50" t="str">
        <v>KH</v>
      </c>
      <c r="G67" s="50" t="b">
        <v>1</v>
      </c>
    </row>
    <row r="68" spans="1:7" x14ac:dyDescent="0.2">
      <c r="A68" s="50" t="str">
        <v xml:space="preserve">Trauben (hell) </v>
      </c>
      <c r="B68" s="50" t="str">
        <v>Kg</v>
      </c>
      <c r="C68" s="50">
        <v>0</v>
      </c>
      <c r="D68" s="50">
        <v>0</v>
      </c>
      <c r="E68" s="50">
        <v>0</v>
      </c>
      <c r="F68" s="50" t="str">
        <v>KH</v>
      </c>
      <c r="G68" s="50" t="b">
        <v>1</v>
      </c>
    </row>
    <row r="69" spans="1:7" x14ac:dyDescent="0.2">
      <c r="A69" s="50" t="str">
        <v>Wirsing</v>
      </c>
      <c r="B69" s="50" t="str">
        <v>Stück</v>
      </c>
      <c r="C69" s="50">
        <v>0</v>
      </c>
      <c r="D69" s="50">
        <v>0</v>
      </c>
      <c r="E69" s="50">
        <v>0</v>
      </c>
      <c r="F69" s="50" t="str">
        <v>KH</v>
      </c>
      <c r="G69" s="50" t="b">
        <v>1</v>
      </c>
    </row>
    <row r="70" spans="1:7" x14ac:dyDescent="0.2">
      <c r="A70" s="50" t="str">
        <v>Zitronen(5kg)</v>
      </c>
      <c r="B70" s="50" t="str">
        <v>kl. Kiste</v>
      </c>
      <c r="C70" s="50">
        <v>1</v>
      </c>
      <c r="D70" s="50">
        <v>1</v>
      </c>
      <c r="E70" s="50">
        <v>0</v>
      </c>
      <c r="F70" s="50" t="str">
        <v>KH</v>
      </c>
      <c r="G70" s="50" t="b">
        <v>1</v>
      </c>
    </row>
    <row r="71" spans="1:7" x14ac:dyDescent="0.2">
      <c r="A71" s="50" t="str">
        <v>Zitronenmelisse</v>
      </c>
      <c r="B71" s="50" t="str">
        <v>Paket</v>
      </c>
      <c r="C71" s="50">
        <v>0</v>
      </c>
      <c r="D71" s="50">
        <v>0</v>
      </c>
      <c r="E71" s="50">
        <v>0</v>
      </c>
      <c r="F71" s="50" t="str">
        <v>KH</v>
      </c>
      <c r="G71" s="50" t="b">
        <v>1</v>
      </c>
    </row>
    <row r="72" spans="1:7" x14ac:dyDescent="0.2">
      <c r="A72" s="50" t="str">
        <v>Zucchini</v>
      </c>
      <c r="B72" s="50" t="str">
        <v>Kiste</v>
      </c>
      <c r="C72" s="50">
        <v>1</v>
      </c>
      <c r="D72" s="50">
        <v>2</v>
      </c>
      <c r="E72" s="50">
        <v>1</v>
      </c>
      <c r="F72" s="50" t="str">
        <v>KH</v>
      </c>
      <c r="G72" s="50" t="b">
        <v>1</v>
      </c>
    </row>
    <row r="73" spans="1:7" x14ac:dyDescent="0.2">
      <c r="A73" s="50" t="str">
        <v>Zuckerschoten</v>
      </c>
      <c r="B73" s="50" t="str">
        <v>Paket</v>
      </c>
      <c r="C73" s="50">
        <v>0</v>
      </c>
      <c r="D73" s="50">
        <v>0</v>
      </c>
      <c r="E73" s="50">
        <v>0</v>
      </c>
      <c r="F73" s="50" t="str">
        <v>KH</v>
      </c>
      <c r="G73" s="50" t="b">
        <v>1</v>
      </c>
    </row>
    <row r="74" spans="1:7" x14ac:dyDescent="0.2">
      <c r="A74" s="50" t="str">
        <v>Zwiebeln, rot</v>
      </c>
      <c r="B74" s="50" t="str">
        <v>5 kg Sack</v>
      </c>
      <c r="C74" s="50">
        <v>1</v>
      </c>
      <c r="D74" s="50">
        <v>1</v>
      </c>
      <c r="E74" s="50">
        <v>0</v>
      </c>
      <c r="F74" s="50" t="str">
        <v>KH</v>
      </c>
      <c r="G74" s="50" t="b">
        <v>1</v>
      </c>
    </row>
    <row r="75" spans="1:7" x14ac:dyDescent="0.2">
      <c r="A75" s="50" t="str">
        <v>Zwiebeln, weiß</v>
      </c>
      <c r="B75" s="50" t="str">
        <v>10kg</v>
      </c>
      <c r="C75" s="50">
        <v>1</v>
      </c>
      <c r="D75" s="50">
        <v>1</v>
      </c>
      <c r="E75" s="50">
        <v>1</v>
      </c>
      <c r="F75" s="50" t="str">
        <v>KH</v>
      </c>
      <c r="G75" s="50" t="b">
        <v>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Bestellung</vt:lpstr>
      <vt:lpstr>Artikel</vt:lpstr>
      <vt:lpstr>Helper</vt:lpstr>
      <vt:lpstr>Bestellung!Druckbereich</vt:lpstr>
      <vt:lpstr>hlpA</vt:lpstr>
      <vt:lpstr>hlpCountA</vt:lpstr>
    </vt:vector>
  </TitlesOfParts>
  <Company>oem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</dc:creator>
  <cp:lastModifiedBy>Gastronomie Carolus Thermen</cp:lastModifiedBy>
  <cp:lastPrinted>2026-04-01T13:38:18Z</cp:lastPrinted>
  <dcterms:created xsi:type="dcterms:W3CDTF">2001-04-13T18:44:28Z</dcterms:created>
  <dcterms:modified xsi:type="dcterms:W3CDTF">2026-04-01T13:38:24Z</dcterms:modified>
</cp:coreProperties>
</file>